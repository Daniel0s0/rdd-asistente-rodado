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uentesleal/Proyectos/rdd-asistente-rodado/b/"/>
    </mc:Choice>
  </mc:AlternateContent>
  <xr:revisionPtr revIDLastSave="0" documentId="8_{548155E9-D158-0040-94B8-179EF65C2B2A}" xr6:coauthVersionLast="47" xr6:coauthVersionMax="47" xr10:uidLastSave="{00000000-0000-0000-0000-000000000000}"/>
  <bookViews>
    <workbookView xWindow="1080" yWindow="1160" windowWidth="27640" windowHeight="16660" xr2:uid="{596949F7-1455-A449-A0F9-DABD113EFDB4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1" i="1" l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<sst xmlns="http://schemas.openxmlformats.org/spreadsheetml/2006/main" count="1016" uniqueCount="451">
  <si>
    <t>CI</t>
  </si>
  <si>
    <t>Nombre</t>
  </si>
  <si>
    <t>Rit</t>
  </si>
  <si>
    <t>Tribunal</t>
  </si>
  <si>
    <t>Fecha</t>
  </si>
  <si>
    <t>Recupero</t>
  </si>
  <si>
    <t>%</t>
  </si>
  <si>
    <t>Honorario</t>
  </si>
  <si>
    <t>Cuotas</t>
  </si>
  <si>
    <t>FP Prox Cuota</t>
  </si>
  <si>
    <t>Daco SpA</t>
  </si>
  <si>
    <t>Cliente</t>
  </si>
  <si>
    <t>Estado</t>
  </si>
  <si>
    <t>Gastos</t>
  </si>
  <si>
    <t>Fecha2</t>
  </si>
  <si>
    <t>CTA</t>
  </si>
  <si>
    <t>Monto Cuota</t>
  </si>
  <si>
    <t xml:space="preserve">Fecha Cuota 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</si>
  <si>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</si>
  <si>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</si>
  <si>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</si>
  <si>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</si>
  <si>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</si>
  <si>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</si>
  <si>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</si>
  <si>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</si>
  <si>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</si>
  <si>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</si>
  <si>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</si>
  <si>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</si>
  <si>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</si>
  <si>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</si>
  <si>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</si>
  <si>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V28374806</t>
  </si>
  <si>
    <t>LAURY MEDINA MEDINA</t>
  </si>
  <si>
    <t>M-4666-2024</t>
  </si>
  <si>
    <t>1º JUZGADO DEL TRABAJO DE SANTIAGO</t>
  </si>
  <si>
    <t>Rechaza Dda</t>
  </si>
  <si>
    <t>V28333674</t>
  </si>
  <si>
    <t>DAVIANNY PAMELA ALEMAN</t>
  </si>
  <si>
    <t>M-888-2025</t>
  </si>
  <si>
    <t>2º JUZGADO DEL TRABAJO DE SANTIAGO</t>
  </si>
  <si>
    <t>26834787-9</t>
  </si>
  <si>
    <t>PETERSON MARDI</t>
  </si>
  <si>
    <t>O-389-2024</t>
  </si>
  <si>
    <t>26275964-4</t>
  </si>
  <si>
    <t>JEAN WILSON SYLVESTE</t>
  </si>
  <si>
    <t>T-3066-2024</t>
  </si>
  <si>
    <t>21623974-1</t>
  </si>
  <si>
    <t>ISABEL DA SILVA</t>
  </si>
  <si>
    <t>M-290-2025</t>
  </si>
  <si>
    <t>JUZGADO DE LETRAS DE COLINA</t>
  </si>
  <si>
    <t>19074558-9</t>
  </si>
  <si>
    <t>MATIAS IGNACIO ABURTO FLORES</t>
  </si>
  <si>
    <t>CONFECCIONADA - INGRESO</t>
  </si>
  <si>
    <t xml:space="preserve">Incobrable - Desistimiento </t>
  </si>
  <si>
    <t>V22546960</t>
  </si>
  <si>
    <t>GREISSY CORDOVA </t>
  </si>
  <si>
    <t>M-986-2026</t>
  </si>
  <si>
    <t>28527088-k</t>
  </si>
  <si>
    <t>GUILLERMO ALEXANDER DE LA CRUZ</t>
  </si>
  <si>
    <t>O-3126-2025</t>
  </si>
  <si>
    <t>2 de 8</t>
  </si>
  <si>
    <t>cuota 02</t>
  </si>
  <si>
    <t>Cte_Falabella</t>
  </si>
  <si>
    <t>V26082977</t>
  </si>
  <si>
    <t>ORIANA MORENO</t>
  </si>
  <si>
    <t>COMPARENDO</t>
  </si>
  <si>
    <t>COMPARENDO DE CONCILIACION</t>
  </si>
  <si>
    <t>0 de 4</t>
  </si>
  <si>
    <t>26997986-0</t>
  </si>
  <si>
    <t>ALFRED CIUS</t>
  </si>
  <si>
    <t>DESISTIMIENTO</t>
  </si>
  <si>
    <t>26020087-9</t>
  </si>
  <si>
    <t>DECINOR LAGUEUR</t>
  </si>
  <si>
    <t>R11199943</t>
  </si>
  <si>
    <t>ELVIS AUGUSTIN </t>
  </si>
  <si>
    <t>44448826-3</t>
  </si>
  <si>
    <t>DUVAN ALBERTO SUAREZ ARICAPA</t>
  </si>
  <si>
    <t>P184881420</t>
  </si>
  <si>
    <t>NILYE NAZARETH ALVARADO SANCHEZ</t>
  </si>
  <si>
    <t>19316158-8</t>
  </si>
  <si>
    <t>ALEJANDRO JAVIER LAGOS ESCOBAR</t>
  </si>
  <si>
    <t>28507695-1</t>
  </si>
  <si>
    <t>JOINES JOSEPH </t>
  </si>
  <si>
    <t>26063173-K</t>
  </si>
  <si>
    <t>ALEXIS SHILER</t>
  </si>
  <si>
    <t>26452673-6</t>
  </si>
  <si>
    <t>DONABLE  ST LOT</t>
  </si>
  <si>
    <t>22293824-4</t>
  </si>
  <si>
    <t>NICOLE PINO</t>
  </si>
  <si>
    <t>15466527-7</t>
  </si>
  <si>
    <t>LORENA ARAYA BARRALES</t>
  </si>
  <si>
    <t>16415302-9</t>
  </si>
  <si>
    <t>JONATHAN ANDRÉS GONZÁLEZ DIAZ</t>
  </si>
  <si>
    <t>CADUCADA</t>
  </si>
  <si>
    <t>Caducada - Pagada</t>
  </si>
  <si>
    <t>26128408-1</t>
  </si>
  <si>
    <t>SAINTILUS LOUDIE</t>
  </si>
  <si>
    <t>Caducada</t>
  </si>
  <si>
    <t>11852365-2</t>
  </si>
  <si>
    <t>CLAUDIA LORENA VILLARROEL TORO</t>
  </si>
  <si>
    <t>33758966-9</t>
  </si>
  <si>
    <t>JUAN CARLOS DUARTE</t>
  </si>
  <si>
    <t>O-162-2026</t>
  </si>
  <si>
    <t>JUZGADO DE LETRAS DE SAN BERNARDO</t>
  </si>
  <si>
    <t>Desistimiento - Pagado</t>
  </si>
  <si>
    <t>27826579-k</t>
  </si>
  <si>
    <t>JOSE MIGUEL JUAREZ CARDENAS</t>
  </si>
  <si>
    <t>O-7880-2025</t>
  </si>
  <si>
    <t>10494821-9</t>
  </si>
  <si>
    <t>ARNOLDO CABRERA</t>
  </si>
  <si>
    <t>O-4731-2024</t>
  </si>
  <si>
    <t>1 de 1</t>
  </si>
  <si>
    <t>OK</t>
  </si>
  <si>
    <t>Pagado y Liquidado</t>
  </si>
  <si>
    <t>NO APLICA</t>
  </si>
  <si>
    <t>CRISTORO9DTES</t>
  </si>
  <si>
    <t>O-4642-2024</t>
  </si>
  <si>
    <t>V33586589</t>
  </si>
  <si>
    <t>MERYANGEL PAZ BRAVO</t>
  </si>
  <si>
    <t>M-66-2025</t>
  </si>
  <si>
    <t>JUZGADO DE LETRAS DE PUENTE ALTO</t>
  </si>
  <si>
    <t>Bci_Cte</t>
  </si>
  <si>
    <t>V20868697</t>
  </si>
  <si>
    <t>MARY ISMAR GONZALEZ MEZA</t>
  </si>
  <si>
    <t>V22667782</t>
  </si>
  <si>
    <t>GERIANA ROJAS</t>
  </si>
  <si>
    <t>V20866513</t>
  </si>
  <si>
    <t>DAMARYS MEZA TAQUIVA</t>
  </si>
  <si>
    <t>27697419-K</t>
  </si>
  <si>
    <t>CESAR RODRIGUEZ MORA</t>
  </si>
  <si>
    <t>O-708-2025</t>
  </si>
  <si>
    <t>27107931-1</t>
  </si>
  <si>
    <t>JOHAN URBINA GOMEZ</t>
  </si>
  <si>
    <t>M-4339-2024</t>
  </si>
  <si>
    <t>24734070-K</t>
  </si>
  <si>
    <t>MARCIA VELASCO</t>
  </si>
  <si>
    <t>O-5979-2023</t>
  </si>
  <si>
    <t>17286302-7</t>
  </si>
  <si>
    <t>JAVIER ANDRES LARA SOTO</t>
  </si>
  <si>
    <t>O-8557-2024</t>
  </si>
  <si>
    <t>26448164-3</t>
  </si>
  <si>
    <t>WILMERLY AVENDAÑO</t>
  </si>
  <si>
    <t>M-4567-2024</t>
  </si>
  <si>
    <t>28414814-2</t>
  </si>
  <si>
    <t>VICTOR CERON HINCAPIE</t>
  </si>
  <si>
    <t>M-4418-2024</t>
  </si>
  <si>
    <t>Beco_DFL</t>
  </si>
  <si>
    <t>25242254-8</t>
  </si>
  <si>
    <t>JOHAN STEVEN MUÑOZ SAAVEDRA</t>
  </si>
  <si>
    <t>M-148-2025</t>
  </si>
  <si>
    <t>18083400-1</t>
  </si>
  <si>
    <t>CRISTOPHER NICOLÁS SALAMANCA AMBIADO</t>
  </si>
  <si>
    <t>M-429-2025</t>
  </si>
  <si>
    <t>27698520-5</t>
  </si>
  <si>
    <t>BRANDON STEVEN RIASCOS RIASCOS</t>
  </si>
  <si>
    <t>3 de 3</t>
  </si>
  <si>
    <t>Beco_Daco</t>
  </si>
  <si>
    <t>11303918-3</t>
  </si>
  <si>
    <t>PEDRO CID SALAZAR</t>
  </si>
  <si>
    <t>M-5931-2024</t>
  </si>
  <si>
    <t>25547362-K</t>
  </si>
  <si>
    <t>MALYORIT SUAREZ SIRIT</t>
  </si>
  <si>
    <t>Efectivo</t>
  </si>
  <si>
    <t>26753105-6</t>
  </si>
  <si>
    <t>EVENIDE DORVIL</t>
  </si>
  <si>
    <t>M-5852-2024</t>
  </si>
  <si>
    <t xml:space="preserve">1 de 1 </t>
  </si>
  <si>
    <t>20190375-0</t>
  </si>
  <si>
    <t>DAYANA DE LOS ANGELES NUÑEZ CARRASCO</t>
  </si>
  <si>
    <t>M-142-2025</t>
  </si>
  <si>
    <t>JUZGADO DE LETRAS DE SAN MIGUEL</t>
  </si>
  <si>
    <t>V19311071</t>
  </si>
  <si>
    <t>ANA CAROLINA CHACIN</t>
  </si>
  <si>
    <t>26276192-4</t>
  </si>
  <si>
    <t>JUAN SOLORZANO ARANDA</t>
  </si>
  <si>
    <t>M-5533-2024</t>
  </si>
  <si>
    <t xml:space="preserve">2 de 2 </t>
  </si>
  <si>
    <t>33712682-0</t>
  </si>
  <si>
    <t>FABIOLA ALEJANDRA QUINTERO GONZÁLEZ</t>
  </si>
  <si>
    <t>T-1904-2025</t>
  </si>
  <si>
    <t>JHONY JULUS - VENET DEVARISTE</t>
  </si>
  <si>
    <t>C-5860-2024</t>
  </si>
  <si>
    <t xml:space="preserve">COBRANZA SANTIAGO </t>
  </si>
  <si>
    <t>DIRIGENTES SINDICATO</t>
  </si>
  <si>
    <t>S-5-2025</t>
  </si>
  <si>
    <t>2 de 2</t>
  </si>
  <si>
    <t>27826232-4</t>
  </si>
  <si>
    <t>ANGIE BARROS ALCALA</t>
  </si>
  <si>
    <t>22937364-1</t>
  </si>
  <si>
    <t>SARA CASTAÑEDA</t>
  </si>
  <si>
    <t>V31680418</t>
  </si>
  <si>
    <t>ERMELY ALVAREZ HERRERA</t>
  </si>
  <si>
    <t>M-347-2025</t>
  </si>
  <si>
    <t>28355442-2</t>
  </si>
  <si>
    <t>YIMBERLY RIVAS RIVAS</t>
  </si>
  <si>
    <t>M-543-2024</t>
  </si>
  <si>
    <t>4 de 4</t>
  </si>
  <si>
    <t>7060235-0</t>
  </si>
  <si>
    <t>MARIA ANGELICA DELGADO</t>
  </si>
  <si>
    <t>T-2133-2024</t>
  </si>
  <si>
    <t>2 de 3</t>
  </si>
  <si>
    <t>26868952-4</t>
  </si>
  <si>
    <t>CLAIRE CATHERINE DORSAINVIL </t>
  </si>
  <si>
    <t>M-590-2024</t>
  </si>
  <si>
    <t>15480148-0</t>
  </si>
  <si>
    <t>CATALINA INES ABARCA LOPEZ</t>
  </si>
  <si>
    <t>M-1351-2025</t>
  </si>
  <si>
    <t>15424852-8</t>
  </si>
  <si>
    <t>ROBERTO PABLO BARRUETO MIRANDA</t>
  </si>
  <si>
    <t>O-1406-2025</t>
  </si>
  <si>
    <t>V15825916</t>
  </si>
  <si>
    <t>LEIDY VILLA</t>
  </si>
  <si>
    <t>O-4631-2025</t>
  </si>
  <si>
    <t>17063011-4</t>
  </si>
  <si>
    <t>ERNESTO CARRASCO SANZANA</t>
  </si>
  <si>
    <t>C-2707-2025</t>
  </si>
  <si>
    <t>23138043-9</t>
  </si>
  <si>
    <t>VANESSA CAROLINA LEAL CARABALLO</t>
  </si>
  <si>
    <t>26457248-7</t>
  </si>
  <si>
    <t>EDER OMAR VEGA BALTAZAR</t>
  </si>
  <si>
    <t>CONSTRUCTORA3DTES</t>
  </si>
  <si>
    <t>O-8838-2024</t>
  </si>
  <si>
    <t>6872554-2</t>
  </si>
  <si>
    <t>VÍCTOR GABRIEL HERNÁNDEZ</t>
  </si>
  <si>
    <t>C-2069-2024</t>
  </si>
  <si>
    <t>25619632-8</t>
  </si>
  <si>
    <t>PAOLA BLANDON ERAZO</t>
  </si>
  <si>
    <t>O-6108-2024</t>
  </si>
  <si>
    <t>6 de 6</t>
  </si>
  <si>
    <t>10721500-K</t>
  </si>
  <si>
    <t>MARGARITA HERNANDEZ CEBALLOS</t>
  </si>
  <si>
    <t>O-7128-2025</t>
  </si>
  <si>
    <t>12794844-5</t>
  </si>
  <si>
    <t>ADONIA AREVALO SANCHEZ</t>
  </si>
  <si>
    <t>26101553-6</t>
  </si>
  <si>
    <t>ANGELINE BAPTIST </t>
  </si>
  <si>
    <t>25542241-3</t>
  </si>
  <si>
    <t>MANOUCHE DOCTEUR</t>
  </si>
  <si>
    <t>15923263-8</t>
  </si>
  <si>
    <t>ALEXIS ROBERTO CEA BRAVO</t>
  </si>
  <si>
    <t>13244683-0</t>
  </si>
  <si>
    <t>BERNARDA BRIONES BAÑARES (Sent.Parcial)</t>
  </si>
  <si>
    <t>O-4731-2025</t>
  </si>
  <si>
    <t>20397710-7</t>
  </si>
  <si>
    <t>KARLA BÓRQUEZ QUIROROZ</t>
  </si>
  <si>
    <t>T-1099-2025</t>
  </si>
  <si>
    <t>26909874-0</t>
  </si>
  <si>
    <t>GUITO TELEMACK</t>
  </si>
  <si>
    <t>M-195-2025</t>
  </si>
  <si>
    <t>26367949-0</t>
  </si>
  <si>
    <t>EINER GARCIA</t>
  </si>
  <si>
    <t>20724669-7</t>
  </si>
  <si>
    <t>DONATIEN HADES MOIROUX MARTINEZ</t>
  </si>
  <si>
    <t>C-363-2025</t>
  </si>
  <si>
    <t>COBRANZA SAN MIGUEL</t>
  </si>
  <si>
    <t>26829714-6</t>
  </si>
  <si>
    <t>ARELIS MARGARITA FUENMAYOR</t>
  </si>
  <si>
    <t>M-525-2025</t>
  </si>
  <si>
    <t>PASSRE83622</t>
  </si>
  <si>
    <t>CARMELO AYALA TORRES</t>
  </si>
  <si>
    <t>15821975-1</t>
  </si>
  <si>
    <t>CESAR ENQRIQUE VENEGAS CARRASCO </t>
  </si>
  <si>
    <t>C-5092-2025</t>
  </si>
  <si>
    <t>14187739-9</t>
  </si>
  <si>
    <t>ELENA GIOVANNA NAVARRO</t>
  </si>
  <si>
    <t>C-2934-2025</t>
  </si>
  <si>
    <t>24381008-6</t>
  </si>
  <si>
    <t>FREDNER CHARLES</t>
  </si>
  <si>
    <t>M-980-2025</t>
  </si>
  <si>
    <t>33496296-2</t>
  </si>
  <si>
    <t>DANNY FRANCO</t>
  </si>
  <si>
    <t>C-3067-2023</t>
  </si>
  <si>
    <t>Pagado y Liquidado P</t>
  </si>
  <si>
    <t>25528206-9</t>
  </si>
  <si>
    <t>ALCIDES YOEL LIZARDO CHIRINOS</t>
  </si>
  <si>
    <t>M-2494-2025</t>
  </si>
  <si>
    <t>8337723-2</t>
  </si>
  <si>
    <t>MAURICIO TAPIA ORTIZ</t>
  </si>
  <si>
    <t>O-4829-2024</t>
  </si>
  <si>
    <t>15420532-2</t>
  </si>
  <si>
    <t>GABRIEL BALMACEDA TRONCOSO</t>
  </si>
  <si>
    <t>C-98-2025</t>
  </si>
  <si>
    <t>COBRANZA COLINA</t>
  </si>
  <si>
    <t>27462182-6</t>
  </si>
  <si>
    <t>ANGELITA AURORA GARCIA SECLEN</t>
  </si>
  <si>
    <t>O-7028-2025</t>
  </si>
  <si>
    <t>13710453-9</t>
  </si>
  <si>
    <t>SOLANGE GISSELLE GARRIDO</t>
  </si>
  <si>
    <t>C-4093-2025</t>
  </si>
  <si>
    <t>1 dd 1</t>
  </si>
  <si>
    <t>24089571-4</t>
  </si>
  <si>
    <t>PATRICK LARTIGUE</t>
  </si>
  <si>
    <t>1 de 2</t>
  </si>
  <si>
    <t>V24107252</t>
  </si>
  <si>
    <t>MARÍA INÉS FERNÁNDEZ ÁVILA</t>
  </si>
  <si>
    <t>C-2170-2024</t>
  </si>
  <si>
    <t>33576612-1</t>
  </si>
  <si>
    <t>JESÚS OCTAVIO CASTILLO DUARTE</t>
  </si>
  <si>
    <t>M-2085-2025</t>
  </si>
  <si>
    <t>26291481-K</t>
  </si>
  <si>
    <t>CHRIST SMITH</t>
  </si>
  <si>
    <t>C-4170-2024</t>
  </si>
  <si>
    <t>APONTE2DTES</t>
  </si>
  <si>
    <t>O-283-2025</t>
  </si>
  <si>
    <t>16661402-3</t>
  </si>
  <si>
    <t>GISELLA CRISTAL HERRERA ROBLES</t>
  </si>
  <si>
    <t>M-2981-2025</t>
  </si>
  <si>
    <t>26845771-2</t>
  </si>
  <si>
    <t>JINA AUGUSTIN </t>
  </si>
  <si>
    <t xml:space="preserve">7 de 7 </t>
  </si>
  <si>
    <t>16272374-K</t>
  </si>
  <si>
    <t>PATRICIO MUÑOZ</t>
  </si>
  <si>
    <t>O-4740-2023</t>
  </si>
  <si>
    <t>27087830-k</t>
  </si>
  <si>
    <t>FELIX MARS</t>
  </si>
  <si>
    <t>M-2544-2024</t>
  </si>
  <si>
    <t>ok</t>
  </si>
  <si>
    <t>26160610-0</t>
  </si>
  <si>
    <t xml:space="preserve">EVINCE FRANÇOIS </t>
  </si>
  <si>
    <t>T-3355-2025</t>
  </si>
  <si>
    <t>27189324-8</t>
  </si>
  <si>
    <t>GARY ADRIANO PICO</t>
  </si>
  <si>
    <t>M-1218-2026</t>
  </si>
  <si>
    <t>12625219-6</t>
  </si>
  <si>
    <t>SILVIA ANTUNES COJNTRERAS </t>
  </si>
  <si>
    <t>CADUCIDAD</t>
  </si>
  <si>
    <t>B13708204</t>
  </si>
  <si>
    <t>HELEN NICKOL CASTRO</t>
  </si>
  <si>
    <t>V29607897</t>
  </si>
  <si>
    <t>MIGUEL ANDRÉS LAMOGLIES</t>
  </si>
  <si>
    <t>M-3635-2025</t>
  </si>
  <si>
    <t>0 de 1</t>
  </si>
  <si>
    <t>10935551-8</t>
  </si>
  <si>
    <t>PATRICIA GONZALEZ ESPINOZA</t>
  </si>
  <si>
    <t>M-4091-2025</t>
  </si>
  <si>
    <t>V12878238</t>
  </si>
  <si>
    <t>DANIEL ORLANDO PEREZ GONZALEZ</t>
  </si>
  <si>
    <t>TRANSACCION</t>
  </si>
  <si>
    <t>V26153731</t>
  </si>
  <si>
    <t>BRAHULIO JOSE BLANCO TORRES</t>
  </si>
  <si>
    <t>26161435-9</t>
  </si>
  <si>
    <t>YBERTO OREST</t>
  </si>
  <si>
    <t>C-282-2025</t>
  </si>
  <si>
    <t>COBRANZA SAN BERNARDO</t>
  </si>
  <si>
    <t>17768635-2</t>
  </si>
  <si>
    <t xml:space="preserve">HUGO RIVERA </t>
  </si>
  <si>
    <t>C-991-2026</t>
  </si>
  <si>
    <t>COBRANZA JUDICIAL</t>
  </si>
  <si>
    <t>16236065-5</t>
  </si>
  <si>
    <t>JULIO RIQUELME</t>
  </si>
  <si>
    <t>T-2729-2024</t>
  </si>
  <si>
    <t>Pendiente 03</t>
  </si>
  <si>
    <t>26082402-3</t>
  </si>
  <si>
    <t>LORENA ANDREINA CISNEROS POSLIGUA</t>
  </si>
  <si>
    <t>3 de 4</t>
  </si>
  <si>
    <t>cuota 03</t>
  </si>
  <si>
    <t>Pendiente 04</t>
  </si>
  <si>
    <t>26072482-7</t>
  </si>
  <si>
    <t>ESTHER JULIA ALVAREZ RODRÍGUEZ</t>
  </si>
  <si>
    <t>O-2779-2025</t>
  </si>
  <si>
    <t>4 de 6</t>
  </si>
  <si>
    <t>cuota 04</t>
  </si>
  <si>
    <t>Pendiente 05</t>
  </si>
  <si>
    <t>V14521951</t>
  </si>
  <si>
    <t>YUMAIRY BOLAÑOS ESPAÑA</t>
  </si>
  <si>
    <t>M-2340-2025</t>
  </si>
  <si>
    <t>14943700-2</t>
  </si>
  <si>
    <t>ALEXANDER PEÑA</t>
  </si>
  <si>
    <t>M-1083-2026</t>
  </si>
  <si>
    <t>1 de 5</t>
  </si>
  <si>
    <t>cuota 01</t>
  </si>
  <si>
    <t>Pendiente 02</t>
  </si>
  <si>
    <t>20160575-K</t>
  </si>
  <si>
    <t>YAMILL ALEJANDRO PALMA ROJAS</t>
  </si>
  <si>
    <t>C-5399-2025</t>
  </si>
  <si>
    <t>2 de 5</t>
  </si>
  <si>
    <t>25863038-6</t>
  </si>
  <si>
    <t>OLIVIER SAINT RILUS</t>
  </si>
  <si>
    <t>M-2472-2025</t>
  </si>
  <si>
    <t>3 de 8</t>
  </si>
  <si>
    <t>26214375-9</t>
  </si>
  <si>
    <t>EMMANUEL JUNIOR DESROSIER</t>
  </si>
  <si>
    <t>T-1671-2025</t>
  </si>
  <si>
    <t>2 de 7</t>
  </si>
  <si>
    <t>ADNELSON RANCY</t>
  </si>
  <si>
    <t>22 de 30</t>
  </si>
  <si>
    <t>cuota 22</t>
  </si>
  <si>
    <t>Pendiente 23</t>
  </si>
  <si>
    <t>Beco_Asolab</t>
  </si>
  <si>
    <t>26600059-6</t>
  </si>
  <si>
    <t>JONATHAN ALEJANDRO RAMIREZ GAÑAN</t>
  </si>
  <si>
    <t>C-5381-2025</t>
  </si>
  <si>
    <t>EMBARGO</t>
  </si>
  <si>
    <t>19730814-1</t>
  </si>
  <si>
    <t>CATHERINE JARA ALE</t>
  </si>
  <si>
    <t>C-4594-2025</t>
  </si>
  <si>
    <t>26662515-4</t>
  </si>
  <si>
    <t>BENITO CENOT</t>
  </si>
  <si>
    <t>C-21-2025</t>
  </si>
  <si>
    <t>Not 52.</t>
  </si>
  <si>
    <t>CHEQUESITO</t>
  </si>
  <si>
    <t>41235829-5</t>
  </si>
  <si>
    <t>ARICELA GONZÁLEZ ***</t>
  </si>
  <si>
    <t>C-2300-2023</t>
  </si>
  <si>
    <t>Rut</t>
  </si>
  <si>
    <t>27041230-0</t>
  </si>
  <si>
    <t>SUHAIL ROMERO</t>
  </si>
  <si>
    <t>M-1774-2025</t>
  </si>
  <si>
    <t>PENDIENTE SENTENCIA</t>
  </si>
  <si>
    <t>AX953189</t>
  </si>
  <si>
    <t>ANDRES BENITEZ OROZCO ***</t>
  </si>
  <si>
    <t>M-4384-2024</t>
  </si>
  <si>
    <t>SENTENCIA ICA1255-2025</t>
  </si>
  <si>
    <t>20111655-4</t>
  </si>
  <si>
    <t>ROMINA ULLOA</t>
  </si>
  <si>
    <t>O-4245-2024</t>
  </si>
  <si>
    <t>25709673-4</t>
  </si>
  <si>
    <t>DUNA JOSEPH</t>
  </si>
  <si>
    <t>O-6728-2024</t>
  </si>
  <si>
    <t>15377012-3</t>
  </si>
  <si>
    <t>MARIO CUEVAS ALVAREZ</t>
  </si>
  <si>
    <t>M-3524-2025</t>
  </si>
  <si>
    <t>33515607-2</t>
  </si>
  <si>
    <t>GABRIELA ARTEGA REA</t>
  </si>
  <si>
    <t>M-3442-2025</t>
  </si>
  <si>
    <t>RECHAZA DEMANDA</t>
  </si>
  <si>
    <t>27972559-K</t>
  </si>
  <si>
    <t xml:space="preserve">JHON YSIQUE VELEZ </t>
  </si>
  <si>
    <t>O-6816-2024</t>
  </si>
  <si>
    <t>C.A. TABLA 1812-2025</t>
  </si>
  <si>
    <t>27514023-3</t>
  </si>
  <si>
    <t>SARAFINA JOZIL</t>
  </si>
  <si>
    <t>M-2338-2025</t>
  </si>
  <si>
    <t>C.A. TABLA 4771-2025</t>
  </si>
  <si>
    <t>13262703-7</t>
  </si>
  <si>
    <t>DAGOBERTO ALVARADO</t>
  </si>
  <si>
    <t>O-4686-2024</t>
  </si>
  <si>
    <t>C.A. TABLA 220-2026</t>
  </si>
  <si>
    <t>27056178-0</t>
  </si>
  <si>
    <t>NATHALIA MARTINEZ GARCIA</t>
  </si>
  <si>
    <t>M-4166-2024</t>
  </si>
  <si>
    <t>C.A. TABLA 1029-2026</t>
  </si>
  <si>
    <t>WALMART2DTES</t>
  </si>
  <si>
    <t>O-7000-2024</t>
  </si>
  <si>
    <t>Pendiente 01</t>
  </si>
  <si>
    <t>VEGA</t>
  </si>
  <si>
    <t>C-8393-2021 27CIVIL</t>
  </si>
  <si>
    <t>C-953-2023</t>
  </si>
  <si>
    <t>REMATE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</si>
</sst>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-&quot;$&quot;* #,##0_-;\-&quot;$&quot;* #,##0_-;_-&quot;$&quot;* &quot;-&quot;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"/>
    </font>
    <font>
      <sz val="12"/>
      <color theme="1"/>
      <name val="Aptos Display"/>
      <scheme val="major"/>
    </font>
    <font>
      <sz val="12"/>
      <color theme="1"/>
      <name val="Calibri (Cuerpo)"/>
    </font>
    <font>
      <sz val="10"/>
      <color rgb="FF000000"/>
      <name val="Arial"/>
      <family val="2"/>
    </font>
    <font>
      <sz val="12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/>
    <xf numFmtId="42" fontId="0" fillId="0" borderId="0" xfId="1" applyFont="1"/>
    <xf numFmtId="42" fontId="3" fillId="0" borderId="1" xfId="1" applyFont="1" applyBorder="1"/>
    <xf numFmtId="14" fontId="3" fillId="0" borderId="1" xfId="1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3" borderId="0" xfId="0" applyFill="1"/>
    <xf numFmtId="14" fontId="5" fillId="0" borderId="0" xfId="0" applyNumberFormat="1" applyFont="1" applyAlignment="1">
      <alignment horizontal="center" vertical="center"/>
    </xf>
    <xf numFmtId="9" fontId="0" fillId="0" borderId="0" xfId="2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5" fillId="0" borderId="0" xfId="0" applyFont="1"/>
    <xf numFmtId="14" fontId="0" fillId="0" borderId="0" xfId="0" applyNumberFormat="1" applyAlignment="1">
      <alignment horizontal="center" vertical="center"/>
    </xf>
    <xf numFmtId="42" fontId="6" fillId="0" borderId="0" xfId="1" applyFont="1"/>
    <xf numFmtId="9" fontId="6" fillId="0" borderId="0" xfId="2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/>
    <xf numFmtId="42" fontId="5" fillId="0" borderId="0" xfId="1" applyFont="1"/>
    <xf numFmtId="9" fontId="5" fillId="0" borderId="0" xfId="2" applyFon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/>
    <xf numFmtId="14" fontId="0" fillId="0" borderId="0" xfId="1" applyNumberFormat="1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/>
    <xf numFmtId="0" fontId="0" fillId="4" borderId="0" xfId="0" applyFill="1"/>
    <xf numFmtId="42" fontId="7" fillId="0" borderId="0" xfId="1" applyFont="1"/>
    <xf numFmtId="42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3" applyFont="1"/>
    <xf numFmtId="164" fontId="7" fillId="0" borderId="0" xfId="3" applyFont="1"/>
    <xf numFmtId="0" fontId="0" fillId="0" borderId="0" xfId="0" applyAlignment="1">
      <alignment horizontal="center"/>
    </xf>
    <xf numFmtId="0" fontId="6" fillId="4" borderId="0" xfId="0" applyFont="1" applyFill="1"/>
    <xf numFmtId="164" fontId="4" fillId="0" borderId="0" xfId="3" applyFont="1"/>
    <xf numFmtId="42" fontId="8" fillId="0" borderId="0" xfId="0" applyNumberFormat="1" applyFont="1"/>
    <xf numFmtId="0" fontId="5" fillId="4" borderId="0" xfId="0" applyFont="1" applyFill="1"/>
    <xf numFmtId="0" fontId="9" fillId="4" borderId="0" xfId="0" applyFont="1" applyFill="1"/>
    <xf numFmtId="42" fontId="5" fillId="0" borderId="0" xfId="1" applyFont="1" applyAlignment="1">
      <alignment horizontal="center" vertical="center"/>
    </xf>
    <xf numFmtId="14" fontId="0" fillId="0" borderId="0" xfId="0" applyNumberFormat="1" applyAlignment="1">
      <alignment horizontal="right"/>
    </xf>
    <xf numFmtId="42" fontId="0" fillId="0" borderId="0" xfId="1" applyFont="1" applyFill="1"/>
    <xf numFmtId="42" fontId="5" fillId="0" borderId="0" xfId="0" applyNumberFormat="1" applyFont="1" applyAlignment="1">
      <alignment horizontal="center" vertical="center"/>
    </xf>
    <xf numFmtId="164" fontId="4" fillId="0" borderId="0" xfId="3" applyFont="1" applyAlignment="1">
      <alignment horizontal="center" vertical="center"/>
    </xf>
    <xf numFmtId="42" fontId="0" fillId="0" borderId="0" xfId="0" applyNumberFormat="1"/>
    <xf numFmtId="42" fontId="4" fillId="0" borderId="0" xfId="1" applyFont="1"/>
    <xf numFmtId="42" fontId="4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3" applyNumberFormat="1" applyFont="1"/>
    <xf numFmtId="0" fontId="5" fillId="5" borderId="0" xfId="0" applyFont="1" applyFill="1"/>
    <xf numFmtId="0" fontId="5" fillId="6" borderId="0" xfId="0" applyFont="1" applyFill="1"/>
    <xf numFmtId="42" fontId="5" fillId="0" borderId="0" xfId="1" applyFont="1" applyFill="1"/>
    <xf numFmtId="9" fontId="5" fillId="0" borderId="0" xfId="2" applyFont="1" applyFill="1"/>
    <xf numFmtId="42" fontId="4" fillId="0" borderId="0" xfId="1" applyFont="1" applyAlignment="1">
      <alignment horizontal="center"/>
    </xf>
    <xf numFmtId="0" fontId="5" fillId="7" borderId="0" xfId="0" applyFont="1" applyFill="1"/>
    <xf numFmtId="0" fontId="5" fillId="8" borderId="0" xfId="0" applyFont="1" applyFill="1"/>
  </cellXfs>
  <cellStyles count="4">
    <cellStyle name="Moneda [0]" xfId="1" builtinId="7"/>
    <cellStyle name="Moneda [0] 2" xfId="3" xr:uid="{EFB05986-4F14-D249-AAE7-57C7D38F5EFE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2dcb8616cafa801/Personal/Daco%20Spa/AGUSTINAS/FLUJOCAJA.xlsx" TargetMode="External"/><Relationship Id="rId1" Type="http://schemas.openxmlformats.org/officeDocument/2006/relationships/externalLinkPath" Target="https://d.docs.live.net/a2dcb8616cafa801/Personal/Daco%20Spa/AGUSTINAS/FLUJO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CUPERO"/>
      <sheetName val="CUENTAS"/>
      <sheetName val="C.CAPT"/>
      <sheetName val="AUD"/>
      <sheetName val="CFR"/>
      <sheetName val="DOCUM"/>
      <sheetName val="COMPENSACIONES"/>
      <sheetName val="MR ROBOT LEGTE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6C19-20BB-9F40-BB36-1E44A4DFFED1}">
  <dimension ref="A1:AM131"/>
  <sheetViews>
    <sheetView tabSelected="1" workbookViewId="0">
      <selection activeCell="J14" sqref="J14"/>
    </sheetView>
  </sheetViews>
  <sheetFormatPr baseColWidth="10" defaultRowHeight="16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/>
      <c r="T1" s="2"/>
      <c r="U1" s="3" t="s">
        <v>16</v>
      </c>
      <c r="V1" s="4" t="s">
        <v>17</v>
      </c>
      <c r="W1" s="5" t="s">
        <v>18</v>
      </c>
      <c r="X1" s="6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</row>
    <row r="2" spans="1:39" x14ac:dyDescent="0.2">
      <c r="A2" s="7" t="s">
        <v>33</v>
      </c>
      <c r="B2" s="7" t="s">
        <v>34</v>
      </c>
      <c r="C2" s="7" t="s">
        <v>35</v>
      </c>
      <c r="D2" s="7" t="s">
        <v>36</v>
      </c>
      <c r="E2" s="8"/>
      <c r="F2" s="2">
        <v>0</v>
      </c>
      <c r="G2" s="9">
        <v>0.3</v>
      </c>
      <c r="H2" s="2" t="e">
        <f>[1]!Tabla1[[#This Row],[Recupero]]*[1]!Tabla1[[#This Row],[%]]</f>
        <v>#VALUE!</v>
      </c>
      <c r="I2" s="10"/>
      <c r="J2" s="11"/>
      <c r="M2" s="12" t="s">
        <v>37</v>
      </c>
      <c r="O2" s="11">
        <v>0</v>
      </c>
      <c r="T2" s="2"/>
      <c r="U2" s="2"/>
      <c r="V2" s="11"/>
      <c r="W2" s="2"/>
      <c r="X2" s="2"/>
      <c r="Y2" s="2"/>
      <c r="Z2" s="2"/>
      <c r="AA2" s="2"/>
      <c r="AB2" s="2"/>
      <c r="AE2" s="2"/>
      <c r="AF2" s="2"/>
      <c r="AG2" s="2"/>
      <c r="AH2" s="2"/>
      <c r="AI2" s="2"/>
      <c r="AJ2" s="2"/>
      <c r="AK2" s="2"/>
    </row>
    <row r="3" spans="1:39" x14ac:dyDescent="0.2">
      <c r="A3" s="7" t="s">
        <v>38</v>
      </c>
      <c r="B3" s="7" t="s">
        <v>39</v>
      </c>
      <c r="C3" s="7" t="s">
        <v>40</v>
      </c>
      <c r="D3" s="7" t="s">
        <v>41</v>
      </c>
      <c r="E3" s="8"/>
      <c r="F3" s="2">
        <v>0</v>
      </c>
      <c r="G3" s="9">
        <v>0.3</v>
      </c>
      <c r="H3" s="2" t="e">
        <f>[1]!Tabla1[[#This Row],[Recupero]]*[1]!Tabla1[[#This Row],[%]]</f>
        <v>#VALUE!</v>
      </c>
      <c r="I3" s="10"/>
      <c r="J3" s="13"/>
      <c r="K3" s="10"/>
      <c r="L3" s="10"/>
      <c r="M3" s="12" t="s">
        <v>37</v>
      </c>
      <c r="O3" s="11">
        <v>0</v>
      </c>
      <c r="R3" s="2"/>
      <c r="U3" s="2"/>
      <c r="V3" s="11"/>
      <c r="W3" s="2"/>
      <c r="X3" s="2"/>
      <c r="Y3" s="2"/>
      <c r="Z3" s="2"/>
      <c r="AA3" s="2"/>
      <c r="AB3" s="2"/>
      <c r="AC3" s="2"/>
      <c r="AE3" s="2"/>
      <c r="AF3" s="2"/>
      <c r="AG3" s="2"/>
      <c r="AH3" s="2"/>
      <c r="AI3" s="2"/>
      <c r="AJ3" s="2"/>
      <c r="AK3" s="2"/>
      <c r="AM3" s="2"/>
    </row>
    <row r="4" spans="1:39" x14ac:dyDescent="0.2">
      <c r="A4" s="7" t="s">
        <v>42</v>
      </c>
      <c r="B4" s="7" t="s">
        <v>43</v>
      </c>
      <c r="C4" s="7" t="s">
        <v>44</v>
      </c>
      <c r="D4" s="7" t="s">
        <v>36</v>
      </c>
      <c r="E4" s="8"/>
      <c r="F4" s="14">
        <v>0</v>
      </c>
      <c r="G4" s="15">
        <v>0.3</v>
      </c>
      <c r="H4" s="14" t="e">
        <f>[1]!Tabla1[[#This Row],[Recupero]]*[1]!Tabla1[[#This Row],[%]]</f>
        <v>#VALUE!</v>
      </c>
      <c r="I4" s="16"/>
      <c r="J4" s="17"/>
      <c r="K4" s="16"/>
      <c r="L4" s="16"/>
      <c r="M4" s="12" t="s">
        <v>37</v>
      </c>
      <c r="N4" s="18"/>
      <c r="O4" s="11">
        <v>0</v>
      </c>
      <c r="P4" s="18"/>
      <c r="R4" s="2"/>
      <c r="U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M4" s="2"/>
    </row>
    <row r="5" spans="1:39" x14ac:dyDescent="0.2">
      <c r="A5" s="7" t="s">
        <v>45</v>
      </c>
      <c r="B5" s="7" t="s">
        <v>46</v>
      </c>
      <c r="C5" s="7" t="s">
        <v>47</v>
      </c>
      <c r="D5" s="7" t="s">
        <v>41</v>
      </c>
      <c r="E5" s="8"/>
      <c r="F5" s="14">
        <v>0</v>
      </c>
      <c r="G5" s="15">
        <v>0.3</v>
      </c>
      <c r="H5" s="14" t="e">
        <f>[1]!Tabla1[[#This Row],[Recupero]]*[1]!Tabla1[[#This Row],[%]]</f>
        <v>#VALUE!</v>
      </c>
      <c r="I5" s="16"/>
      <c r="J5" s="17"/>
      <c r="K5" s="16"/>
      <c r="L5" s="16"/>
      <c r="M5" s="12" t="s">
        <v>37</v>
      </c>
      <c r="N5" s="18"/>
      <c r="O5" s="11">
        <v>0</v>
      </c>
      <c r="P5" s="18"/>
      <c r="R5" s="2"/>
      <c r="U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M5" s="2"/>
    </row>
    <row r="6" spans="1:39" x14ac:dyDescent="0.2">
      <c r="A6" s="7" t="s">
        <v>48</v>
      </c>
      <c r="B6" s="7" t="s">
        <v>49</v>
      </c>
      <c r="C6" s="7" t="s">
        <v>50</v>
      </c>
      <c r="D6" s="7" t="s">
        <v>51</v>
      </c>
      <c r="E6" s="8"/>
      <c r="F6" s="19">
        <v>0</v>
      </c>
      <c r="G6" s="20">
        <v>0.3</v>
      </c>
      <c r="H6" s="19" t="e">
        <f>[1]!Tabla1[[#This Row],[Recupero]]*[1]!Tabla1[[#This Row],[%]]</f>
        <v>#VALUE!</v>
      </c>
      <c r="I6" s="21"/>
      <c r="J6" s="22"/>
      <c r="K6" s="21"/>
      <c r="L6" s="21"/>
      <c r="M6" s="12" t="s">
        <v>37</v>
      </c>
      <c r="N6" s="12"/>
      <c r="O6" s="11">
        <v>1</v>
      </c>
      <c r="P6" s="12"/>
      <c r="R6" s="2"/>
      <c r="T6" s="2"/>
      <c r="U6" s="2"/>
      <c r="V6" s="1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9" x14ac:dyDescent="0.2">
      <c r="A7" s="7" t="s">
        <v>52</v>
      </c>
      <c r="B7" s="7" t="s">
        <v>53</v>
      </c>
      <c r="C7" s="7"/>
      <c r="D7" s="7" t="s">
        <v>54</v>
      </c>
      <c r="E7" s="8"/>
      <c r="F7" s="19">
        <v>0</v>
      </c>
      <c r="G7" s="20">
        <v>0.15</v>
      </c>
      <c r="H7" s="19" t="e">
        <f>[1]!Tabla1[[#This Row],[Recupero]]*[1]!Tabla1[[#This Row],[%]]</f>
        <v>#VALUE!</v>
      </c>
      <c r="I7" s="21"/>
      <c r="J7" s="23"/>
      <c r="K7" s="12"/>
      <c r="L7" s="12"/>
      <c r="M7" s="12" t="s">
        <v>55</v>
      </c>
      <c r="N7" s="12"/>
      <c r="O7" s="11">
        <v>1</v>
      </c>
      <c r="P7" s="12"/>
      <c r="R7" s="2"/>
      <c r="U7" s="2"/>
      <c r="V7" s="24"/>
    </row>
    <row r="8" spans="1:39" x14ac:dyDescent="0.2">
      <c r="A8" s="7" t="s">
        <v>56</v>
      </c>
      <c r="B8" s="7" t="s">
        <v>57</v>
      </c>
      <c r="C8" s="7" t="s">
        <v>58</v>
      </c>
      <c r="D8" s="7" t="s">
        <v>41</v>
      </c>
      <c r="E8" s="8"/>
      <c r="F8" s="14">
        <v>0</v>
      </c>
      <c r="G8" s="20">
        <v>0.3</v>
      </c>
      <c r="H8" s="19" t="e">
        <f>[1]!Tabla1[[#This Row],[Recupero]]*[1]!Tabla1[[#This Row],[%]]</f>
        <v>#VALUE!</v>
      </c>
      <c r="I8" s="21"/>
      <c r="J8" s="23"/>
      <c r="K8" s="12"/>
      <c r="L8" s="12"/>
      <c r="M8" s="12" t="s">
        <v>55</v>
      </c>
      <c r="N8" s="12"/>
      <c r="O8" s="11">
        <v>1</v>
      </c>
      <c r="P8" s="12"/>
      <c r="R8" s="2"/>
      <c r="U8" s="2"/>
      <c r="V8" s="24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M8" s="2"/>
    </row>
    <row r="9" spans="1:39" x14ac:dyDescent="0.2">
      <c r="A9" s="7" t="s">
        <v>59</v>
      </c>
      <c r="B9" s="7" t="s">
        <v>60</v>
      </c>
      <c r="C9" s="7" t="s">
        <v>61</v>
      </c>
      <c r="D9" s="7" t="s">
        <v>36</v>
      </c>
      <c r="E9" s="8"/>
      <c r="F9" s="19">
        <v>0</v>
      </c>
      <c r="G9" s="20">
        <v>0.3</v>
      </c>
      <c r="H9" s="19" t="e">
        <f>[1]!Tabla1[[#This Row],[Recupero]]*[1]!Tabla1[[#This Row],[%]]</f>
        <v>#VALUE!</v>
      </c>
      <c r="I9" s="21" t="s">
        <v>62</v>
      </c>
      <c r="J9" s="22">
        <v>45998</v>
      </c>
      <c r="K9" s="21" t="s">
        <v>63</v>
      </c>
      <c r="L9" s="21" t="s">
        <v>63</v>
      </c>
      <c r="M9" s="12" t="s">
        <v>55</v>
      </c>
      <c r="N9" s="12"/>
      <c r="O9" s="11">
        <v>1</v>
      </c>
      <c r="P9" s="12" t="s">
        <v>64</v>
      </c>
      <c r="R9" s="2"/>
      <c r="U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M9" s="2"/>
    </row>
    <row r="10" spans="1:39" x14ac:dyDescent="0.2">
      <c r="A10" s="7" t="s">
        <v>65</v>
      </c>
      <c r="B10" s="7" t="s">
        <v>66</v>
      </c>
      <c r="C10" s="7" t="s">
        <v>67</v>
      </c>
      <c r="D10" s="7" t="s">
        <v>68</v>
      </c>
      <c r="E10" s="8"/>
      <c r="F10" s="19">
        <v>0</v>
      </c>
      <c r="G10" s="20">
        <v>0.3</v>
      </c>
      <c r="H10" s="19" t="e">
        <f>[1]!Tabla1[[#This Row],[Recupero]]*[1]!Tabla1[[#This Row],[%]]</f>
        <v>#VALUE!</v>
      </c>
      <c r="I10" s="21" t="s">
        <v>69</v>
      </c>
      <c r="J10" s="22">
        <v>45978</v>
      </c>
      <c r="K10" s="21"/>
      <c r="L10" s="21"/>
      <c r="M10" s="12" t="s">
        <v>55</v>
      </c>
      <c r="N10" s="12"/>
      <c r="O10" s="11">
        <v>1</v>
      </c>
      <c r="P10" s="12" t="s">
        <v>64</v>
      </c>
      <c r="R10" s="2"/>
      <c r="U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M10" s="2"/>
    </row>
    <row r="11" spans="1:39" x14ac:dyDescent="0.2">
      <c r="A11" s="7" t="s">
        <v>70</v>
      </c>
      <c r="B11" s="7" t="s">
        <v>71</v>
      </c>
      <c r="C11" s="7"/>
      <c r="D11" s="7" t="s">
        <v>72</v>
      </c>
      <c r="E11" s="8"/>
      <c r="F11" s="14">
        <v>0</v>
      </c>
      <c r="G11" s="15">
        <v>0.3</v>
      </c>
      <c r="H11" s="14" t="e">
        <f>[1]!Tabla1[[#This Row],[Recupero]]*[1]!Tabla1[[#This Row],[%]]</f>
        <v>#VALUE!</v>
      </c>
      <c r="I11" s="16"/>
      <c r="J11" s="25"/>
      <c r="K11" s="16"/>
      <c r="L11" s="16"/>
      <c r="M11" s="12" t="s">
        <v>55</v>
      </c>
      <c r="N11" s="18"/>
      <c r="O11" s="11">
        <v>1</v>
      </c>
      <c r="P11" s="18"/>
      <c r="S11" s="2"/>
      <c r="T11" s="2"/>
      <c r="U11" s="2"/>
      <c r="V11" s="1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9" x14ac:dyDescent="0.2">
      <c r="A12" s="7" t="s">
        <v>73</v>
      </c>
      <c r="B12" s="7" t="s">
        <v>74</v>
      </c>
      <c r="C12" s="7"/>
      <c r="D12" s="7" t="s">
        <v>72</v>
      </c>
      <c r="E12" s="8"/>
      <c r="F12" s="14">
        <v>0</v>
      </c>
      <c r="G12" s="15">
        <v>0.3</v>
      </c>
      <c r="H12" s="14" t="e">
        <f>[1]!Tabla1[[#This Row],[Recupero]]*[1]!Tabla1[[#This Row],[%]]</f>
        <v>#VALUE!</v>
      </c>
      <c r="I12" s="16"/>
      <c r="J12" s="26"/>
      <c r="K12" s="18"/>
      <c r="L12" s="18"/>
      <c r="M12" s="12" t="s">
        <v>55</v>
      </c>
      <c r="N12" s="18"/>
      <c r="O12" s="11">
        <v>1</v>
      </c>
      <c r="P12" s="18"/>
      <c r="R12" s="2"/>
      <c r="U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M12" s="2"/>
    </row>
    <row r="13" spans="1:39" x14ac:dyDescent="0.2">
      <c r="A13" s="7" t="s">
        <v>75</v>
      </c>
      <c r="B13" s="7" t="s">
        <v>76</v>
      </c>
      <c r="C13" s="7"/>
      <c r="D13" s="7" t="s">
        <v>72</v>
      </c>
      <c r="E13" s="8"/>
      <c r="F13" s="14">
        <v>0</v>
      </c>
      <c r="G13" s="15">
        <v>0.3</v>
      </c>
      <c r="H13" s="14" t="e">
        <f>[1]!Tabla1[[#This Row],[Recupero]]*[1]!Tabla1[[#This Row],[%]]</f>
        <v>#VALUE!</v>
      </c>
      <c r="I13" s="16"/>
      <c r="J13" s="26"/>
      <c r="K13" s="18"/>
      <c r="L13" s="18"/>
      <c r="M13" s="12" t="s">
        <v>55</v>
      </c>
      <c r="N13" s="18"/>
      <c r="O13" s="11">
        <v>1</v>
      </c>
      <c r="P13" s="18"/>
      <c r="R13" s="2"/>
      <c r="U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M13" s="2"/>
    </row>
    <row r="14" spans="1:39" x14ac:dyDescent="0.2">
      <c r="A14" s="7" t="s">
        <v>77</v>
      </c>
      <c r="B14" s="7" t="s">
        <v>78</v>
      </c>
      <c r="C14" s="7"/>
      <c r="D14" s="7" t="s">
        <v>72</v>
      </c>
      <c r="E14" s="8"/>
      <c r="F14" s="14">
        <v>0</v>
      </c>
      <c r="G14" s="15">
        <v>1</v>
      </c>
      <c r="H14" s="14" t="e">
        <f>[1]!Tabla1[[#This Row],[Recupero]]*[1]!Tabla1[[#This Row],[%]]</f>
        <v>#VALUE!</v>
      </c>
      <c r="I14" s="16"/>
      <c r="J14" s="25"/>
      <c r="K14" s="16"/>
      <c r="L14" s="16"/>
      <c r="M14" s="12" t="s">
        <v>55</v>
      </c>
      <c r="N14" s="18"/>
      <c r="O14" s="11">
        <v>1</v>
      </c>
      <c r="P14" s="18"/>
      <c r="R14" s="2"/>
      <c r="U14" s="2"/>
      <c r="W14" s="11"/>
      <c r="X14" s="11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M14" s="2"/>
    </row>
    <row r="15" spans="1:39" x14ac:dyDescent="0.2">
      <c r="A15" s="7" t="s">
        <v>79</v>
      </c>
      <c r="B15" s="7" t="s">
        <v>80</v>
      </c>
      <c r="C15" s="7"/>
      <c r="D15" s="7" t="s">
        <v>72</v>
      </c>
      <c r="E15" s="8"/>
      <c r="F15" s="2">
        <v>0</v>
      </c>
      <c r="G15" s="9">
        <v>0.3</v>
      </c>
      <c r="H15" s="2" t="e">
        <f>[1]!Tabla1[[#This Row],[Recupero]]*[1]!Tabla1[[#This Row],[%]]</f>
        <v>#VALUE!</v>
      </c>
      <c r="I15" s="10"/>
      <c r="J15" s="13"/>
      <c r="K15" s="10"/>
      <c r="L15" s="10"/>
      <c r="M15" s="12" t="s">
        <v>55</v>
      </c>
      <c r="O15" s="11">
        <v>1</v>
      </c>
      <c r="R15" s="2"/>
      <c r="T15" s="2"/>
      <c r="U15" s="2"/>
      <c r="V15" s="11"/>
      <c r="W15" s="2"/>
      <c r="X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9" x14ac:dyDescent="0.2">
      <c r="A16" s="7" t="s">
        <v>81</v>
      </c>
      <c r="B16" s="7" t="s">
        <v>82</v>
      </c>
      <c r="C16" s="7"/>
      <c r="D16" s="7" t="s">
        <v>72</v>
      </c>
      <c r="E16" s="8"/>
      <c r="F16" s="2">
        <v>0</v>
      </c>
      <c r="G16" s="20">
        <v>0.3</v>
      </c>
      <c r="H16" s="2" t="e">
        <f>[1]!Tabla1[[#This Row],[Recupero]]*[1]!Tabla1[[#This Row],[%]]</f>
        <v>#VALUE!</v>
      </c>
      <c r="I16" s="10"/>
      <c r="J16" s="11"/>
      <c r="M16" s="12" t="s">
        <v>55</v>
      </c>
      <c r="O16" s="11">
        <v>1</v>
      </c>
      <c r="R16" s="2"/>
      <c r="U16" s="2"/>
      <c r="V16" s="24"/>
    </row>
    <row r="17" spans="1:39" x14ac:dyDescent="0.2">
      <c r="A17" s="7" t="s">
        <v>83</v>
      </c>
      <c r="B17" s="7" t="s">
        <v>84</v>
      </c>
      <c r="C17" s="7"/>
      <c r="D17" s="7" t="s">
        <v>72</v>
      </c>
      <c r="E17" s="8"/>
      <c r="F17" s="2">
        <v>0</v>
      </c>
      <c r="G17" s="20">
        <v>0.3</v>
      </c>
      <c r="H17" s="2" t="e">
        <f>[1]!Tabla1[[#This Row],[Recupero]]*[1]!Tabla1[[#This Row],[%]]</f>
        <v>#VALUE!</v>
      </c>
      <c r="I17" s="10"/>
      <c r="J17" s="11"/>
      <c r="M17" s="12" t="s">
        <v>55</v>
      </c>
      <c r="O17" s="11">
        <v>1</v>
      </c>
      <c r="R17" s="2"/>
      <c r="U17" s="2"/>
      <c r="V17" s="24"/>
    </row>
    <row r="18" spans="1:39" x14ac:dyDescent="0.2">
      <c r="A18" s="7" t="s">
        <v>85</v>
      </c>
      <c r="B18" s="7" t="s">
        <v>86</v>
      </c>
      <c r="C18" s="7"/>
      <c r="D18" s="7" t="s">
        <v>72</v>
      </c>
      <c r="E18" s="8"/>
      <c r="F18" s="2">
        <v>0</v>
      </c>
      <c r="G18" s="20">
        <v>0.3</v>
      </c>
      <c r="H18" s="2" t="e">
        <f>[1]!Tabla1[[#This Row],[Recupero]]*[1]!Tabla1[[#This Row],[%]]</f>
        <v>#VALUE!</v>
      </c>
      <c r="I18" s="10"/>
      <c r="J18" s="11"/>
      <c r="M18" s="12" t="s">
        <v>55</v>
      </c>
      <c r="O18" s="11">
        <v>1</v>
      </c>
      <c r="R18" s="2"/>
      <c r="U18" s="2"/>
      <c r="V18" s="24"/>
    </row>
    <row r="19" spans="1:39" x14ac:dyDescent="0.2">
      <c r="A19" s="7" t="s">
        <v>87</v>
      </c>
      <c r="B19" s="7" t="s">
        <v>88</v>
      </c>
      <c r="C19" s="7"/>
      <c r="D19" s="7" t="s">
        <v>72</v>
      </c>
      <c r="E19" s="8"/>
      <c r="F19" s="2">
        <v>0</v>
      </c>
      <c r="G19" s="20">
        <v>0.3</v>
      </c>
      <c r="H19" s="2" t="e">
        <f>[1]!Tabla1[[#This Row],[Recupero]]*[1]!Tabla1[[#This Row],[%]]</f>
        <v>#VALUE!</v>
      </c>
      <c r="I19" s="10"/>
      <c r="J19" s="11"/>
      <c r="M19" s="12" t="s">
        <v>55</v>
      </c>
      <c r="O19" s="11">
        <v>1</v>
      </c>
      <c r="R19" s="2"/>
      <c r="U19" s="2"/>
      <c r="V19" s="24"/>
    </row>
    <row r="20" spans="1:39" x14ac:dyDescent="0.2">
      <c r="A20" s="7" t="s">
        <v>89</v>
      </c>
      <c r="B20" s="7" t="s">
        <v>90</v>
      </c>
      <c r="C20" s="7"/>
      <c r="D20" s="7" t="s">
        <v>72</v>
      </c>
      <c r="F20" s="2">
        <v>0</v>
      </c>
      <c r="G20" s="20">
        <v>0.3</v>
      </c>
      <c r="H20" s="2" t="e">
        <f>[1]!Tabla1[[#This Row],[Recupero]]*[1]!Tabla1[[#This Row],[%]]</f>
        <v>#VALUE!</v>
      </c>
      <c r="I20" s="10"/>
      <c r="J20" s="11"/>
      <c r="M20" s="12" t="s">
        <v>55</v>
      </c>
      <c r="O20" s="11">
        <v>1</v>
      </c>
      <c r="R20" s="2"/>
      <c r="U20" s="2"/>
      <c r="V20" s="24"/>
    </row>
    <row r="21" spans="1:39" x14ac:dyDescent="0.2">
      <c r="A21" s="7" t="s">
        <v>91</v>
      </c>
      <c r="B21" s="7" t="s">
        <v>92</v>
      </c>
      <c r="C21" s="7"/>
      <c r="D21" s="7" t="s">
        <v>72</v>
      </c>
      <c r="F21" s="2">
        <v>0</v>
      </c>
      <c r="G21" s="20">
        <v>0.3</v>
      </c>
      <c r="H21" s="2">
        <f>[1]!Tabla1[[#This Row],[Recupero]]*[1]!Tabla1[[#This Row],[%]]</f>
        <v>0</v>
      </c>
      <c r="I21" s="10"/>
      <c r="J21" s="11"/>
      <c r="M21" s="12" t="s">
        <v>55</v>
      </c>
      <c r="O21" s="11">
        <v>1</v>
      </c>
      <c r="R21" s="2"/>
      <c r="U21" s="2"/>
      <c r="V21" s="24"/>
    </row>
    <row r="22" spans="1:39" x14ac:dyDescent="0.2">
      <c r="A22" s="7" t="s">
        <v>93</v>
      </c>
      <c r="B22" s="7" t="s">
        <v>94</v>
      </c>
      <c r="C22" s="7" t="s">
        <v>95</v>
      </c>
      <c r="D22" s="7"/>
      <c r="E22" s="8"/>
      <c r="F22" s="19">
        <v>0</v>
      </c>
      <c r="G22" s="20">
        <v>0.2</v>
      </c>
      <c r="H22" s="19">
        <f>[1]!Tabla1[[#This Row],[Recupero]]*[1]!Tabla1[[#This Row],[%]]</f>
        <v>0</v>
      </c>
      <c r="I22" s="21"/>
      <c r="J22" s="23"/>
      <c r="K22" s="12"/>
      <c r="L22" s="12"/>
      <c r="M22" s="12" t="s">
        <v>96</v>
      </c>
      <c r="N22" s="12"/>
      <c r="O22" s="11">
        <v>1</v>
      </c>
      <c r="P22" s="12"/>
      <c r="T22" s="2"/>
    </row>
    <row r="23" spans="1:39" x14ac:dyDescent="0.2">
      <c r="A23" s="7" t="s">
        <v>97</v>
      </c>
      <c r="B23" s="7" t="s">
        <v>98</v>
      </c>
      <c r="C23" s="7" t="s">
        <v>95</v>
      </c>
      <c r="D23" s="7"/>
      <c r="E23" s="8"/>
      <c r="F23" s="19">
        <v>0</v>
      </c>
      <c r="G23" s="20">
        <v>0.3</v>
      </c>
      <c r="H23" s="19">
        <f>[1]!Tabla1[[#This Row],[Recupero]]*[1]!Tabla1[[#This Row],[%]]</f>
        <v>0</v>
      </c>
      <c r="I23" s="21"/>
      <c r="J23" s="22"/>
      <c r="K23" s="21"/>
      <c r="L23" s="21"/>
      <c r="M23" s="12" t="s">
        <v>99</v>
      </c>
      <c r="N23" s="12"/>
      <c r="O23" s="11">
        <v>1</v>
      </c>
      <c r="P23" s="12"/>
      <c r="R23" s="2"/>
      <c r="T23" s="2"/>
      <c r="U23" s="2"/>
      <c r="V23" s="11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9" x14ac:dyDescent="0.2">
      <c r="A24" s="7" t="s">
        <v>100</v>
      </c>
      <c r="B24" s="7" t="s">
        <v>101</v>
      </c>
      <c r="C24" s="7" t="s">
        <v>95</v>
      </c>
      <c r="D24" s="7"/>
      <c r="E24" s="8"/>
      <c r="F24" s="19">
        <v>0</v>
      </c>
      <c r="G24" s="20">
        <v>0.3</v>
      </c>
      <c r="H24" s="19">
        <f>[1]!Tabla1[[#This Row],[Recupero]]*[1]!Tabla1[[#This Row],[%]]</f>
        <v>0</v>
      </c>
      <c r="I24" s="21"/>
      <c r="J24" s="22"/>
      <c r="K24" s="21"/>
      <c r="L24" s="21"/>
      <c r="M24" s="12" t="s">
        <v>99</v>
      </c>
      <c r="N24" s="12"/>
      <c r="O24" s="11">
        <v>1</v>
      </c>
      <c r="P24" s="12"/>
      <c r="R24" s="2"/>
      <c r="S24" s="2"/>
      <c r="T24" s="2"/>
      <c r="U24" s="2"/>
      <c r="V24" s="1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9" x14ac:dyDescent="0.2">
      <c r="A25" s="7" t="s">
        <v>102</v>
      </c>
      <c r="B25" s="7" t="s">
        <v>103</v>
      </c>
      <c r="C25" s="7" t="s">
        <v>104</v>
      </c>
      <c r="D25" s="7" t="s">
        <v>105</v>
      </c>
      <c r="F25" s="19">
        <v>400000</v>
      </c>
      <c r="G25" s="20">
        <v>1</v>
      </c>
      <c r="H25" s="19">
        <f>[1]!Tabla1[[#This Row],[Recupero]]*[1]!Tabla1[[#This Row],[%]]</f>
        <v>0</v>
      </c>
      <c r="I25" s="21"/>
      <c r="J25" s="23"/>
      <c r="K25" s="12"/>
      <c r="L25" s="12"/>
      <c r="M25" s="12" t="s">
        <v>106</v>
      </c>
      <c r="N25" s="12"/>
      <c r="O25" s="11">
        <v>1</v>
      </c>
      <c r="P25" s="12"/>
      <c r="R25" s="2"/>
      <c r="U25" s="2"/>
      <c r="V25" s="24"/>
    </row>
    <row r="26" spans="1:39" x14ac:dyDescent="0.2">
      <c r="A26" s="7" t="s">
        <v>107</v>
      </c>
      <c r="B26" s="7" t="s">
        <v>108</v>
      </c>
      <c r="C26" s="7" t="s">
        <v>109</v>
      </c>
      <c r="D26" s="7" t="s">
        <v>36</v>
      </c>
      <c r="E26" s="8"/>
      <c r="F26" s="19">
        <v>400000</v>
      </c>
      <c r="G26" s="20">
        <v>1</v>
      </c>
      <c r="H26" s="19">
        <f>[1]!Tabla1[[#This Row],[Recupero]]*[1]!Tabla1[[#This Row],[%]]</f>
        <v>0</v>
      </c>
      <c r="I26" s="21"/>
      <c r="J26" s="22"/>
      <c r="K26" s="21"/>
      <c r="L26" s="21"/>
      <c r="M26" s="12" t="s">
        <v>106</v>
      </c>
      <c r="N26" s="12"/>
      <c r="O26" s="11">
        <v>1</v>
      </c>
      <c r="P26" s="12"/>
      <c r="R26" s="2"/>
      <c r="U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M26" s="2"/>
    </row>
    <row r="27" spans="1:39" x14ac:dyDescent="0.2">
      <c r="A27" s="27" t="s">
        <v>110</v>
      </c>
      <c r="B27" s="27" t="s">
        <v>111</v>
      </c>
      <c r="C27" s="27" t="s">
        <v>112</v>
      </c>
      <c r="D27" s="27" t="s">
        <v>36</v>
      </c>
      <c r="E27" s="8"/>
      <c r="F27" s="2">
        <v>6000000</v>
      </c>
      <c r="G27" s="9">
        <v>0.25</v>
      </c>
      <c r="H27" s="2">
        <f>[1]!Tabla1[[#This Row],[Recupero]]*[1]!Tabla1[[#This Row],[%]]</f>
        <v>0</v>
      </c>
      <c r="I27" s="10" t="s">
        <v>113</v>
      </c>
      <c r="J27" s="13">
        <v>45813</v>
      </c>
      <c r="K27" s="10" t="s">
        <v>114</v>
      </c>
      <c r="L27" s="10" t="s">
        <v>114</v>
      </c>
      <c r="M27" s="12" t="s">
        <v>115</v>
      </c>
      <c r="O27" s="11">
        <v>45814</v>
      </c>
      <c r="P27" t="s">
        <v>64</v>
      </c>
      <c r="R27" s="2"/>
      <c r="T27" s="2"/>
      <c r="U27" s="2"/>
      <c r="V27" s="1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9" x14ac:dyDescent="0.2">
      <c r="A28" s="27" t="s">
        <v>116</v>
      </c>
      <c r="B28" s="27" t="s">
        <v>117</v>
      </c>
      <c r="C28" s="27" t="s">
        <v>118</v>
      </c>
      <c r="D28" s="27" t="s">
        <v>41</v>
      </c>
      <c r="E28" s="8"/>
      <c r="F28" s="2">
        <v>8360140</v>
      </c>
      <c r="G28" s="9">
        <v>0.25</v>
      </c>
      <c r="H28" s="2">
        <f>[1]!Tabla1[[#This Row],[Recupero]]*[1]!Tabla1[[#This Row],[%]]</f>
        <v>0</v>
      </c>
      <c r="I28" s="10" t="s">
        <v>113</v>
      </c>
      <c r="J28" s="13">
        <v>45813</v>
      </c>
      <c r="K28" s="10" t="s">
        <v>114</v>
      </c>
      <c r="L28" s="10" t="s">
        <v>114</v>
      </c>
      <c r="M28" s="12" t="s">
        <v>115</v>
      </c>
      <c r="O28" s="11">
        <v>45814</v>
      </c>
      <c r="P28" t="s">
        <v>64</v>
      </c>
      <c r="R28" s="2"/>
      <c r="T28" s="2"/>
      <c r="U28" s="2"/>
      <c r="V28" s="1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9" x14ac:dyDescent="0.2">
      <c r="A29" s="27" t="s">
        <v>119</v>
      </c>
      <c r="B29" s="27" t="s">
        <v>120</v>
      </c>
      <c r="C29" s="27" t="s">
        <v>121</v>
      </c>
      <c r="D29" s="27" t="s">
        <v>122</v>
      </c>
      <c r="E29" s="8"/>
      <c r="F29" s="28">
        <v>1377818</v>
      </c>
      <c r="G29" s="9">
        <v>0.3</v>
      </c>
      <c r="H29" s="2">
        <f>[1]!Tabla1[[#This Row],[Recupero]]*[1]!Tabla1[[#This Row],[%]]</f>
        <v>0</v>
      </c>
      <c r="I29" s="10" t="s">
        <v>113</v>
      </c>
      <c r="J29" s="13">
        <v>45813</v>
      </c>
      <c r="K29" s="10" t="s">
        <v>114</v>
      </c>
      <c r="L29" s="10" t="s">
        <v>114</v>
      </c>
      <c r="M29" s="12" t="s">
        <v>115</v>
      </c>
      <c r="O29" s="11">
        <v>45814</v>
      </c>
      <c r="P29" t="s">
        <v>123</v>
      </c>
      <c r="T29" s="2"/>
      <c r="V29" s="1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9" x14ac:dyDescent="0.2">
      <c r="A30" s="27" t="s">
        <v>124</v>
      </c>
      <c r="B30" s="27" t="s">
        <v>125</v>
      </c>
      <c r="C30" s="27"/>
      <c r="D30" s="27" t="s">
        <v>68</v>
      </c>
      <c r="E30" s="8"/>
      <c r="F30" s="2">
        <v>2000000</v>
      </c>
      <c r="G30" s="9">
        <v>0.3</v>
      </c>
      <c r="H30" s="2">
        <f>[1]!Tabla1[[#This Row],[Recupero]]*[1]!Tabla1[[#This Row],[%]]</f>
        <v>0</v>
      </c>
      <c r="I30" s="10" t="s">
        <v>113</v>
      </c>
      <c r="J30" s="13">
        <v>45813</v>
      </c>
      <c r="K30" s="10" t="s">
        <v>114</v>
      </c>
      <c r="L30" s="10" t="s">
        <v>114</v>
      </c>
      <c r="M30" s="12" t="s">
        <v>115</v>
      </c>
      <c r="O30" s="11">
        <v>45814</v>
      </c>
      <c r="P30" t="s">
        <v>123</v>
      </c>
      <c r="R30" s="2"/>
      <c r="T30" s="2"/>
      <c r="U30" s="2"/>
      <c r="V30" s="1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9" x14ac:dyDescent="0.2">
      <c r="A31" s="27" t="s">
        <v>126</v>
      </c>
      <c r="B31" s="27" t="s">
        <v>127</v>
      </c>
      <c r="C31" s="27"/>
      <c r="D31" s="27" t="s">
        <v>68</v>
      </c>
      <c r="E31" s="8"/>
      <c r="F31" s="2">
        <v>2000000</v>
      </c>
      <c r="G31" s="9">
        <v>0.3</v>
      </c>
      <c r="H31" s="2">
        <f>[1]!Tabla1[[#This Row],[Recupero]]*[1]!Tabla1[[#This Row],[%]]</f>
        <v>0</v>
      </c>
      <c r="I31" s="10" t="s">
        <v>113</v>
      </c>
      <c r="J31" s="13">
        <v>45813</v>
      </c>
      <c r="K31" s="10" t="s">
        <v>114</v>
      </c>
      <c r="L31" s="10" t="s">
        <v>114</v>
      </c>
      <c r="M31" s="12" t="s">
        <v>115</v>
      </c>
      <c r="O31" s="11">
        <v>45814</v>
      </c>
      <c r="P31" t="s">
        <v>123</v>
      </c>
      <c r="R31" s="2"/>
      <c r="T31" s="2"/>
      <c r="U31" s="2"/>
      <c r="V31" s="1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9" x14ac:dyDescent="0.2">
      <c r="A32" s="27" t="s">
        <v>128</v>
      </c>
      <c r="B32" s="27" t="s">
        <v>129</v>
      </c>
      <c r="C32" s="27"/>
      <c r="D32" s="27" t="s">
        <v>68</v>
      </c>
      <c r="E32" s="8"/>
      <c r="F32" s="2">
        <v>2000000</v>
      </c>
      <c r="G32" s="9">
        <v>0.3</v>
      </c>
      <c r="H32" s="2">
        <f>[1]!Tabla1[[#This Row],[Recupero]]*[1]!Tabla1[[#This Row],[%]]</f>
        <v>0</v>
      </c>
      <c r="I32" s="10" t="s">
        <v>113</v>
      </c>
      <c r="J32" s="13">
        <v>45813</v>
      </c>
      <c r="K32" s="10" t="s">
        <v>114</v>
      </c>
      <c r="L32" s="10" t="s">
        <v>114</v>
      </c>
      <c r="M32" s="12" t="s">
        <v>115</v>
      </c>
      <c r="O32" s="11">
        <v>45814</v>
      </c>
      <c r="P32" t="s">
        <v>123</v>
      </c>
      <c r="R32" s="2"/>
      <c r="T32" s="2"/>
      <c r="U32" s="2"/>
      <c r="V32" s="1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2">
      <c r="A33" s="27" t="s">
        <v>130</v>
      </c>
      <c r="B33" s="27" t="s">
        <v>131</v>
      </c>
      <c r="C33" s="27" t="s">
        <v>132</v>
      </c>
      <c r="D33" s="27" t="s">
        <v>41</v>
      </c>
      <c r="E33" s="8"/>
      <c r="F33" s="2">
        <v>1000000</v>
      </c>
      <c r="G33" s="9">
        <v>0.3</v>
      </c>
      <c r="H33" s="2">
        <f>[1]!Tabla1[[#This Row],[Recupero]]*[1]!Tabla1[[#This Row],[%]]</f>
        <v>0</v>
      </c>
      <c r="I33" s="10" t="s">
        <v>113</v>
      </c>
      <c r="J33" s="13">
        <v>45832</v>
      </c>
      <c r="K33" s="10" t="s">
        <v>114</v>
      </c>
      <c r="L33" s="10" t="s">
        <v>114</v>
      </c>
      <c r="M33" s="12" t="s">
        <v>115</v>
      </c>
      <c r="O33" s="11">
        <v>45827</v>
      </c>
      <c r="P33" t="s">
        <v>123</v>
      </c>
      <c r="R33" s="2"/>
      <c r="T33" s="2"/>
      <c r="U33" s="2"/>
      <c r="V33" s="1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2">
      <c r="A34" s="27" t="s">
        <v>133</v>
      </c>
      <c r="B34" s="27" t="s">
        <v>134</v>
      </c>
      <c r="C34" s="27" t="s">
        <v>135</v>
      </c>
      <c r="D34" s="27" t="s">
        <v>36</v>
      </c>
      <c r="E34" s="8"/>
      <c r="F34" s="2">
        <v>1500000</v>
      </c>
      <c r="G34" s="9">
        <v>0.3</v>
      </c>
      <c r="H34" s="2">
        <f>[1]!Tabla1[[#This Row],[Recupero]]*[1]!Tabla1[[#This Row],[%]]</f>
        <v>0</v>
      </c>
      <c r="I34" s="10" t="s">
        <v>113</v>
      </c>
      <c r="J34" s="13">
        <v>45835</v>
      </c>
      <c r="K34" s="10" t="s">
        <v>114</v>
      </c>
      <c r="L34" s="10" t="s">
        <v>114</v>
      </c>
      <c r="M34" s="12" t="s">
        <v>115</v>
      </c>
      <c r="O34" s="11">
        <v>45835</v>
      </c>
      <c r="P34" t="s">
        <v>64</v>
      </c>
      <c r="R34" s="2"/>
      <c r="T34" s="2"/>
      <c r="U34" s="2"/>
      <c r="V34" s="1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2">
      <c r="A35" s="27" t="s">
        <v>136</v>
      </c>
      <c r="B35" s="27" t="s">
        <v>137</v>
      </c>
      <c r="C35" s="27" t="s">
        <v>138</v>
      </c>
      <c r="D35" s="27" t="s">
        <v>41</v>
      </c>
      <c r="E35" s="8"/>
      <c r="F35" s="2">
        <v>1200000</v>
      </c>
      <c r="G35" s="9">
        <v>0.25</v>
      </c>
      <c r="H35" s="2">
        <f>[1]!Tabla1[[#This Row],[Recupero]]*[1]!Tabla1[[#This Row],[%]]</f>
        <v>0</v>
      </c>
      <c r="I35" s="10" t="s">
        <v>113</v>
      </c>
      <c r="J35" s="13">
        <v>45843</v>
      </c>
      <c r="K35" s="10" t="s">
        <v>114</v>
      </c>
      <c r="L35" s="10" t="s">
        <v>114</v>
      </c>
      <c r="M35" s="12" t="s">
        <v>115</v>
      </c>
      <c r="O35" s="11">
        <v>45835</v>
      </c>
      <c r="P35" t="s">
        <v>64</v>
      </c>
      <c r="R35" s="2"/>
      <c r="T35" s="2"/>
      <c r="V35" s="1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2">
      <c r="A36" s="27" t="s">
        <v>139</v>
      </c>
      <c r="B36" s="27" t="s">
        <v>140</v>
      </c>
      <c r="C36" s="27" t="s">
        <v>141</v>
      </c>
      <c r="D36" s="27" t="s">
        <v>41</v>
      </c>
      <c r="E36" s="8"/>
      <c r="F36" s="2">
        <v>8500000</v>
      </c>
      <c r="G36" s="9">
        <v>0.14705879999999999</v>
      </c>
      <c r="H36" s="2">
        <f>[1]!Tabla1[[#This Row],[Recupero]]*[1]!Tabla1[[#This Row],[%]]</f>
        <v>0</v>
      </c>
      <c r="I36" s="10" t="s">
        <v>113</v>
      </c>
      <c r="J36" s="13">
        <v>45843</v>
      </c>
      <c r="K36" s="10" t="s">
        <v>114</v>
      </c>
      <c r="L36" s="10" t="s">
        <v>114</v>
      </c>
      <c r="M36" s="12" t="s">
        <v>115</v>
      </c>
      <c r="O36" s="11">
        <v>45839</v>
      </c>
      <c r="P36" t="s">
        <v>123</v>
      </c>
      <c r="R36" s="2"/>
      <c r="T36" s="2"/>
      <c r="U36" s="2"/>
      <c r="V36" s="11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2">
      <c r="A37" s="27" t="s">
        <v>142</v>
      </c>
      <c r="B37" s="27" t="s">
        <v>143</v>
      </c>
      <c r="C37" s="27" t="s">
        <v>144</v>
      </c>
      <c r="D37" s="27" t="s">
        <v>36</v>
      </c>
      <c r="E37" s="8"/>
      <c r="F37" s="2">
        <v>412500</v>
      </c>
      <c r="G37" s="9">
        <v>0.5</v>
      </c>
      <c r="H37" s="2">
        <f>[1]!Tabla1[[#This Row],[Recupero]]*[1]!Tabla1[[#This Row],[%]]</f>
        <v>0</v>
      </c>
      <c r="I37" s="10" t="s">
        <v>113</v>
      </c>
      <c r="J37" s="13">
        <v>45846</v>
      </c>
      <c r="K37" s="10" t="s">
        <v>114</v>
      </c>
      <c r="L37" s="10" t="s">
        <v>114</v>
      </c>
      <c r="M37" s="12" t="s">
        <v>115</v>
      </c>
      <c r="O37" s="11">
        <v>45841</v>
      </c>
      <c r="P37" t="s">
        <v>123</v>
      </c>
      <c r="R37" s="2"/>
      <c r="T37" s="2"/>
      <c r="U37" s="2"/>
      <c r="V37" s="1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2">
      <c r="A38" s="27" t="s">
        <v>145</v>
      </c>
      <c r="B38" s="27" t="s">
        <v>146</v>
      </c>
      <c r="C38" s="27" t="s">
        <v>147</v>
      </c>
      <c r="D38" s="27" t="s">
        <v>36</v>
      </c>
      <c r="E38" s="8"/>
      <c r="F38" s="2">
        <v>1000000</v>
      </c>
      <c r="G38" s="9">
        <v>0.3</v>
      </c>
      <c r="H38" s="2">
        <f>[1]!Tabla1[[#This Row],[Recupero]]*[1]!Tabla1[[#This Row],[%]]</f>
        <v>0</v>
      </c>
      <c r="I38" s="10" t="s">
        <v>113</v>
      </c>
      <c r="J38" s="13">
        <v>45858</v>
      </c>
      <c r="K38" s="10" t="s">
        <v>114</v>
      </c>
      <c r="L38" s="10" t="s">
        <v>114</v>
      </c>
      <c r="M38" s="12" t="s">
        <v>115</v>
      </c>
      <c r="O38" s="11">
        <v>45856</v>
      </c>
      <c r="P38" t="s">
        <v>148</v>
      </c>
      <c r="R38" s="2"/>
      <c r="S38" s="2"/>
      <c r="T38" s="2"/>
      <c r="U38" s="2"/>
      <c r="V38" s="1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">
      <c r="A39" s="27" t="s">
        <v>149</v>
      </c>
      <c r="B39" s="27" t="s">
        <v>150</v>
      </c>
      <c r="C39" s="27" t="s">
        <v>151</v>
      </c>
      <c r="D39" s="27" t="s">
        <v>51</v>
      </c>
      <c r="E39" s="8"/>
      <c r="F39" s="2">
        <v>2700000</v>
      </c>
      <c r="G39" s="9">
        <v>0.3</v>
      </c>
      <c r="H39" s="2">
        <f>[1]!Tabla1[[#This Row],[Recupero]]*[1]!Tabla1[[#This Row],[%]]</f>
        <v>0</v>
      </c>
      <c r="I39" s="10" t="s">
        <v>113</v>
      </c>
      <c r="J39" s="13">
        <v>45853</v>
      </c>
      <c r="K39" s="10" t="s">
        <v>114</v>
      </c>
      <c r="L39" s="10" t="s">
        <v>114</v>
      </c>
      <c r="M39" s="12" t="s">
        <v>115</v>
      </c>
      <c r="O39" s="11">
        <v>45861</v>
      </c>
      <c r="P39" t="s">
        <v>64</v>
      </c>
      <c r="R39" s="2"/>
      <c r="S39" s="2"/>
      <c r="T39" s="2"/>
      <c r="U39" s="2"/>
      <c r="V39" s="1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">
      <c r="A40" s="27" t="s">
        <v>152</v>
      </c>
      <c r="B40" s="27" t="s">
        <v>153</v>
      </c>
      <c r="C40" s="27" t="s">
        <v>154</v>
      </c>
      <c r="D40" s="27" t="s">
        <v>36</v>
      </c>
      <c r="E40" s="8"/>
      <c r="F40" s="2">
        <v>3170000</v>
      </c>
      <c r="G40" s="9">
        <v>0.25</v>
      </c>
      <c r="H40" s="2">
        <f>[1]!Tabla1[[#This Row],[Recupero]]*[1]!Tabla1[[#This Row],[%]]</f>
        <v>0</v>
      </c>
      <c r="I40" s="10" t="s">
        <v>113</v>
      </c>
      <c r="J40" s="13">
        <v>45858</v>
      </c>
      <c r="K40" s="10" t="s">
        <v>114</v>
      </c>
      <c r="L40" s="10" t="s">
        <v>114</v>
      </c>
      <c r="M40" s="12" t="s">
        <v>115</v>
      </c>
      <c r="O40" s="11">
        <v>45861</v>
      </c>
      <c r="P40" t="s">
        <v>64</v>
      </c>
      <c r="R40" s="2"/>
      <c r="S40" s="2"/>
      <c r="T40" s="2"/>
      <c r="U40" s="2"/>
      <c r="V40" s="1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">
      <c r="A41" s="27" t="s">
        <v>155</v>
      </c>
      <c r="B41" s="27" t="s">
        <v>156</v>
      </c>
      <c r="C41" s="27"/>
      <c r="D41" s="27" t="s">
        <v>68</v>
      </c>
      <c r="E41" s="8"/>
      <c r="F41" s="2">
        <v>4500000</v>
      </c>
      <c r="G41" s="9">
        <v>0.3</v>
      </c>
      <c r="H41" s="2">
        <f>[1]!Tabla1[[#This Row],[Recupero]]*[1]!Tabla1[[#This Row],[%]]</f>
        <v>0</v>
      </c>
      <c r="I41" s="10" t="s">
        <v>157</v>
      </c>
      <c r="J41" s="13">
        <v>45862</v>
      </c>
      <c r="K41" s="10" t="s">
        <v>114</v>
      </c>
      <c r="L41" s="10" t="s">
        <v>114</v>
      </c>
      <c r="M41" s="12" t="s">
        <v>115</v>
      </c>
      <c r="O41" s="11">
        <v>45866</v>
      </c>
      <c r="P41" t="s">
        <v>158</v>
      </c>
      <c r="R41" s="2"/>
      <c r="S41" s="2"/>
      <c r="T41" s="2"/>
      <c r="U41" s="2"/>
      <c r="V41" s="11"/>
      <c r="W41" s="2"/>
      <c r="X41" s="2"/>
      <c r="Y41" s="2"/>
      <c r="Z41" s="2"/>
      <c r="AA41" s="2"/>
      <c r="AB41" s="2"/>
      <c r="AD41" s="2"/>
      <c r="AE41" s="2"/>
      <c r="AF41" s="2"/>
      <c r="AG41" s="2"/>
      <c r="AH41" s="2"/>
      <c r="AI41" s="2"/>
      <c r="AJ41" s="2"/>
      <c r="AK41" s="2"/>
    </row>
    <row r="42" spans="1:37" x14ac:dyDescent="0.2">
      <c r="A42" s="27" t="s">
        <v>159</v>
      </c>
      <c r="B42" s="27" t="s">
        <v>160</v>
      </c>
      <c r="C42" s="27" t="s">
        <v>161</v>
      </c>
      <c r="D42" s="27" t="s">
        <v>41</v>
      </c>
      <c r="E42" s="8"/>
      <c r="F42" s="2">
        <v>481000</v>
      </c>
      <c r="G42" s="9">
        <v>0.5</v>
      </c>
      <c r="H42" s="2">
        <f>[1]!Tabla1[[#This Row],[Recupero]]*[1]!Tabla1[[#This Row],[%]]</f>
        <v>0</v>
      </c>
      <c r="I42" s="10" t="s">
        <v>113</v>
      </c>
      <c r="J42" s="13">
        <v>45873</v>
      </c>
      <c r="K42" s="10" t="s">
        <v>114</v>
      </c>
      <c r="L42" s="10" t="s">
        <v>114</v>
      </c>
      <c r="M42" s="12" t="s">
        <v>115</v>
      </c>
      <c r="O42" s="11">
        <v>45868</v>
      </c>
      <c r="P42" t="s">
        <v>123</v>
      </c>
      <c r="R42" s="29"/>
      <c r="T42" s="2"/>
      <c r="U42" s="29"/>
      <c r="V42" s="11"/>
      <c r="W42" s="29"/>
      <c r="X42" s="29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2">
      <c r="A43" s="27" t="s">
        <v>162</v>
      </c>
      <c r="B43" s="27" t="s">
        <v>163</v>
      </c>
      <c r="C43" s="27"/>
      <c r="D43" s="27" t="s">
        <v>68</v>
      </c>
      <c r="E43" s="8"/>
      <c r="F43" s="2">
        <v>400000</v>
      </c>
      <c r="G43" s="9">
        <v>0.5</v>
      </c>
      <c r="H43" s="2">
        <f>[1]!Tabla1[[#This Row],[Recupero]]*[1]!Tabla1[[#This Row],[%]]</f>
        <v>0</v>
      </c>
      <c r="I43" s="10" t="s">
        <v>113</v>
      </c>
      <c r="J43" s="30">
        <v>45876</v>
      </c>
      <c r="K43" s="10" t="s">
        <v>114</v>
      </c>
      <c r="L43" s="10" t="s">
        <v>114</v>
      </c>
      <c r="M43" s="12" t="s">
        <v>115</v>
      </c>
      <c r="O43" s="11">
        <v>45876</v>
      </c>
      <c r="P43" t="s">
        <v>164</v>
      </c>
      <c r="R43" s="2"/>
      <c r="T43" s="2"/>
      <c r="U43" s="2"/>
      <c r="V43" s="11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">
      <c r="A44" s="27" t="s">
        <v>165</v>
      </c>
      <c r="B44" s="27" t="s">
        <v>166</v>
      </c>
      <c r="C44" s="27" t="s">
        <v>167</v>
      </c>
      <c r="D44" s="27" t="s">
        <v>36</v>
      </c>
      <c r="E44" s="8"/>
      <c r="F44" s="2">
        <v>1400000</v>
      </c>
      <c r="G44" s="9">
        <v>0.3</v>
      </c>
      <c r="H44" s="2">
        <f>[1]!Tabla1[[#This Row],[Recupero]]*[1]!Tabla1[[#This Row],[%]]</f>
        <v>400000</v>
      </c>
      <c r="I44" s="10" t="s">
        <v>168</v>
      </c>
      <c r="J44" s="13">
        <v>45883</v>
      </c>
      <c r="K44" s="10" t="s">
        <v>114</v>
      </c>
      <c r="L44" s="10" t="s">
        <v>114</v>
      </c>
      <c r="M44" s="12" t="s">
        <v>115</v>
      </c>
      <c r="O44" s="11">
        <v>45884</v>
      </c>
      <c r="P44" t="s">
        <v>123</v>
      </c>
      <c r="R44" s="2"/>
      <c r="T44" s="2"/>
      <c r="U44" s="2"/>
      <c r="V44" s="11"/>
      <c r="W44" s="31"/>
      <c r="X44" s="31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2">
      <c r="A45" s="27" t="s">
        <v>169</v>
      </c>
      <c r="B45" s="27" t="s">
        <v>170</v>
      </c>
      <c r="C45" s="27" t="s">
        <v>171</v>
      </c>
      <c r="D45" s="27" t="s">
        <v>172</v>
      </c>
      <c r="E45" s="8"/>
      <c r="F45" s="2">
        <v>900000</v>
      </c>
      <c r="G45" s="9">
        <v>0.333333333334</v>
      </c>
      <c r="H45" s="2">
        <f>[1]!Tabla1[[#This Row],[Recupero]]*[1]!Tabla1[[#This Row],[%]]</f>
        <v>400000</v>
      </c>
      <c r="I45" s="10" t="s">
        <v>168</v>
      </c>
      <c r="J45" s="13">
        <v>45887</v>
      </c>
      <c r="K45" s="10" t="s">
        <v>114</v>
      </c>
      <c r="L45" s="10" t="s">
        <v>114</v>
      </c>
      <c r="M45" s="12" t="s">
        <v>115</v>
      </c>
      <c r="O45" s="11">
        <v>45887</v>
      </c>
      <c r="P45" t="s">
        <v>123</v>
      </c>
      <c r="R45" s="2"/>
      <c r="T45" s="2"/>
      <c r="U45" s="2"/>
      <c r="V45" s="1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">
      <c r="A46" s="27" t="s">
        <v>173</v>
      </c>
      <c r="B46" s="27" t="s">
        <v>174</v>
      </c>
      <c r="C46" s="27" t="s">
        <v>67</v>
      </c>
      <c r="D46" s="27"/>
      <c r="E46" s="8"/>
      <c r="F46" s="2">
        <v>1500000</v>
      </c>
      <c r="G46" s="9">
        <v>0.3</v>
      </c>
      <c r="H46" s="2">
        <f>[1]!Tabla1[[#This Row],[Recupero]]*[1]!Tabla1[[#This Row],[%]]</f>
        <v>1500000</v>
      </c>
      <c r="I46" s="10" t="s">
        <v>168</v>
      </c>
      <c r="J46" s="13">
        <v>45877</v>
      </c>
      <c r="K46" s="10" t="s">
        <v>114</v>
      </c>
      <c r="L46" s="10" t="s">
        <v>114</v>
      </c>
      <c r="M46" s="12" t="s">
        <v>115</v>
      </c>
      <c r="O46" s="11">
        <v>45887</v>
      </c>
      <c r="P46" t="s">
        <v>164</v>
      </c>
      <c r="R46" s="2"/>
      <c r="T46" s="2"/>
      <c r="U46" s="2"/>
      <c r="V46" s="11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">
      <c r="A47" s="27" t="s">
        <v>175</v>
      </c>
      <c r="B47" s="27" t="s">
        <v>176</v>
      </c>
      <c r="C47" s="27" t="s">
        <v>177</v>
      </c>
      <c r="D47" s="27" t="s">
        <v>41</v>
      </c>
      <c r="E47" s="8"/>
      <c r="F47" s="2">
        <v>4000000</v>
      </c>
      <c r="G47" s="9">
        <v>0.3</v>
      </c>
      <c r="H47" s="2">
        <f>[1]!Tabla1[[#This Row],[Recupero]]*[1]!Tabla1[[#This Row],[%]]</f>
        <v>2090035</v>
      </c>
      <c r="I47" s="10" t="s">
        <v>178</v>
      </c>
      <c r="J47" s="13">
        <v>45894</v>
      </c>
      <c r="K47" s="10" t="s">
        <v>114</v>
      </c>
      <c r="L47" s="10" t="s">
        <v>114</v>
      </c>
      <c r="M47" s="12" t="s">
        <v>115</v>
      </c>
      <c r="O47" s="11">
        <v>45894</v>
      </c>
      <c r="P47" t="s">
        <v>64</v>
      </c>
      <c r="R47" s="2"/>
      <c r="S47" s="2"/>
      <c r="T47" s="2"/>
      <c r="U47" s="2"/>
      <c r="V47" s="11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2">
      <c r="A48" s="27" t="s">
        <v>179</v>
      </c>
      <c r="B48" s="27" t="s">
        <v>180</v>
      </c>
      <c r="C48" s="27" t="s">
        <v>181</v>
      </c>
      <c r="D48" s="27" t="s">
        <v>36</v>
      </c>
      <c r="E48" s="8"/>
      <c r="F48" s="2">
        <v>3500000</v>
      </c>
      <c r="G48" s="9">
        <v>0.3</v>
      </c>
      <c r="H48" s="2">
        <f>[1]!Tabla1[[#This Row],[Recupero]]*[1]!Tabla1[[#This Row],[%]]</f>
        <v>413345.39999999997</v>
      </c>
      <c r="I48" s="10" t="s">
        <v>168</v>
      </c>
      <c r="J48" s="13">
        <v>45904</v>
      </c>
      <c r="K48" s="10" t="s">
        <v>114</v>
      </c>
      <c r="L48" s="10" t="s">
        <v>114</v>
      </c>
      <c r="M48" s="12" t="s">
        <v>115</v>
      </c>
      <c r="O48" s="11">
        <v>45906</v>
      </c>
      <c r="P48" t="s">
        <v>64</v>
      </c>
      <c r="R48" s="2"/>
      <c r="T48" s="2"/>
      <c r="U48" s="2"/>
      <c r="V48" s="11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9" x14ac:dyDescent="0.2">
      <c r="A49" s="27" t="s">
        <v>116</v>
      </c>
      <c r="B49" s="27" t="s">
        <v>182</v>
      </c>
      <c r="C49" s="27" t="s">
        <v>183</v>
      </c>
      <c r="D49" s="27" t="s">
        <v>184</v>
      </c>
      <c r="E49" s="8"/>
      <c r="F49" s="32">
        <v>2807813</v>
      </c>
      <c r="G49" s="9">
        <v>0.3</v>
      </c>
      <c r="H49" s="2">
        <f>[1]!Tabla1[[#This Row],[Recupero]]*[1]!Tabla1[[#This Row],[%]]</f>
        <v>600000</v>
      </c>
      <c r="I49" s="10" t="s">
        <v>168</v>
      </c>
      <c r="J49" s="13">
        <v>45920</v>
      </c>
      <c r="K49" s="10" t="s">
        <v>114</v>
      </c>
      <c r="L49" s="10" t="s">
        <v>114</v>
      </c>
      <c r="M49" s="12" t="s">
        <v>115</v>
      </c>
      <c r="O49" s="11">
        <v>45915</v>
      </c>
      <c r="P49" t="s">
        <v>64</v>
      </c>
      <c r="R49" s="2"/>
      <c r="S49" s="2"/>
      <c r="T49" s="2"/>
      <c r="U49" s="2"/>
      <c r="V49" s="11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9" x14ac:dyDescent="0.2">
      <c r="A50" s="27" t="s">
        <v>116</v>
      </c>
      <c r="B50" s="27" t="s">
        <v>185</v>
      </c>
      <c r="C50" s="27" t="s">
        <v>186</v>
      </c>
      <c r="D50" s="27" t="s">
        <v>41</v>
      </c>
      <c r="E50" s="8"/>
      <c r="F50" s="2">
        <v>535000</v>
      </c>
      <c r="G50" s="9">
        <v>1</v>
      </c>
      <c r="H50" s="2">
        <f>[1]!Tabla1[[#This Row],[Recupero]]*[1]!Tabla1[[#This Row],[%]]</f>
        <v>600000</v>
      </c>
      <c r="I50" s="10" t="s">
        <v>187</v>
      </c>
      <c r="J50" s="30">
        <v>45923</v>
      </c>
      <c r="K50" s="33" t="s">
        <v>114</v>
      </c>
      <c r="L50" s="33" t="s">
        <v>114</v>
      </c>
      <c r="M50" s="12" t="s">
        <v>115</v>
      </c>
      <c r="O50" s="11">
        <v>45915</v>
      </c>
      <c r="P50" t="s">
        <v>158</v>
      </c>
      <c r="R50" s="2"/>
      <c r="S50" s="2"/>
      <c r="T50" s="2"/>
      <c r="U50" s="2"/>
      <c r="V50" s="11"/>
      <c r="W50" s="2"/>
      <c r="X50" s="2"/>
      <c r="Y50" s="2"/>
      <c r="Z50" s="2"/>
      <c r="AA50" s="2"/>
      <c r="AB50" s="2"/>
    </row>
    <row r="51" spans="1:39" x14ac:dyDescent="0.2">
      <c r="A51" s="34" t="s">
        <v>188</v>
      </c>
      <c r="B51" s="34" t="s">
        <v>189</v>
      </c>
      <c r="C51" s="34"/>
      <c r="D51" s="34" t="s">
        <v>68</v>
      </c>
      <c r="E51" s="8"/>
      <c r="F51" s="14">
        <v>4000000</v>
      </c>
      <c r="G51" s="15">
        <v>0.3</v>
      </c>
      <c r="H51" s="14">
        <f>[1]!Tabla1[[#This Row],[Recupero]]*[1]!Tabla1[[#This Row],[%]]</f>
        <v>600000</v>
      </c>
      <c r="I51" s="16" t="s">
        <v>187</v>
      </c>
      <c r="J51" s="17">
        <v>45915</v>
      </c>
      <c r="K51" s="16" t="s">
        <v>114</v>
      </c>
      <c r="L51" s="16" t="s">
        <v>114</v>
      </c>
      <c r="M51" s="12" t="s">
        <v>115</v>
      </c>
      <c r="N51" s="18"/>
      <c r="O51" s="11">
        <v>45915</v>
      </c>
      <c r="P51" s="18" t="s">
        <v>64</v>
      </c>
      <c r="R51" s="2"/>
      <c r="T51" s="2"/>
      <c r="U51" s="2"/>
      <c r="V51" s="1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9" x14ac:dyDescent="0.2">
      <c r="A52" s="34" t="s">
        <v>190</v>
      </c>
      <c r="B52" s="34" t="s">
        <v>191</v>
      </c>
      <c r="C52" s="34"/>
      <c r="D52" s="34" t="s">
        <v>68</v>
      </c>
      <c r="E52" s="8"/>
      <c r="F52" s="14">
        <v>6000000</v>
      </c>
      <c r="G52" s="15">
        <v>0.3</v>
      </c>
      <c r="H52" s="14">
        <f>[1]!Tabla1[[#This Row],[Recupero]]*[1]!Tabla1[[#This Row],[%]]</f>
        <v>300000</v>
      </c>
      <c r="I52" s="10" t="s">
        <v>168</v>
      </c>
      <c r="J52" s="25">
        <v>45923</v>
      </c>
      <c r="K52" s="16" t="s">
        <v>114</v>
      </c>
      <c r="L52" s="16" t="s">
        <v>114</v>
      </c>
      <c r="M52" s="12" t="s">
        <v>115</v>
      </c>
      <c r="N52" s="18"/>
      <c r="O52" s="11">
        <v>45925</v>
      </c>
      <c r="P52" s="18" t="s">
        <v>64</v>
      </c>
      <c r="R52" s="2"/>
      <c r="U52" s="2"/>
      <c r="V52" s="1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M52" s="2"/>
    </row>
    <row r="53" spans="1:39" x14ac:dyDescent="0.2">
      <c r="A53" s="34" t="s">
        <v>192</v>
      </c>
      <c r="B53" s="34" t="s">
        <v>193</v>
      </c>
      <c r="C53" s="34" t="s">
        <v>194</v>
      </c>
      <c r="D53" s="34" t="s">
        <v>172</v>
      </c>
      <c r="E53" s="8"/>
      <c r="F53" s="14">
        <v>860000</v>
      </c>
      <c r="G53" s="15">
        <v>0.34883750000000002</v>
      </c>
      <c r="H53" s="14">
        <f>[1]!Tabla1[[#This Row],[Recupero]]*[1]!Tabla1[[#This Row],[%]]</f>
        <v>450000</v>
      </c>
      <c r="I53" s="16" t="s">
        <v>187</v>
      </c>
      <c r="J53" s="25">
        <v>45923</v>
      </c>
      <c r="K53" s="16" t="s">
        <v>114</v>
      </c>
      <c r="L53" s="16" t="s">
        <v>114</v>
      </c>
      <c r="M53" s="12" t="s">
        <v>115</v>
      </c>
      <c r="N53" s="18"/>
      <c r="O53" s="11">
        <v>45929</v>
      </c>
      <c r="P53" s="18" t="s">
        <v>123</v>
      </c>
      <c r="R53" s="2"/>
      <c r="T53" s="2"/>
      <c r="U53" s="2"/>
      <c r="V53" s="1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9" x14ac:dyDescent="0.2">
      <c r="A54" s="34" t="s">
        <v>195</v>
      </c>
      <c r="B54" s="34" t="s">
        <v>196</v>
      </c>
      <c r="C54" s="34" t="s">
        <v>197</v>
      </c>
      <c r="D54" s="34" t="s">
        <v>172</v>
      </c>
      <c r="E54" s="8"/>
      <c r="F54" s="14">
        <v>4500000</v>
      </c>
      <c r="G54" s="15">
        <v>0.3</v>
      </c>
      <c r="H54" s="14">
        <f>[1]!Tabla1[[#This Row],[Recupero]]*[1]!Tabla1[[#This Row],[%]]</f>
        <v>300000</v>
      </c>
      <c r="I54" s="16" t="s">
        <v>198</v>
      </c>
      <c r="J54" s="17">
        <v>45960</v>
      </c>
      <c r="K54" s="16" t="s">
        <v>114</v>
      </c>
      <c r="L54" s="16" t="s">
        <v>114</v>
      </c>
      <c r="M54" s="12" t="s">
        <v>115</v>
      </c>
      <c r="N54" s="18"/>
      <c r="O54" s="11">
        <v>45960</v>
      </c>
      <c r="P54" s="18" t="s">
        <v>123</v>
      </c>
      <c r="R54" s="2"/>
      <c r="S54" s="2"/>
      <c r="T54" s="2"/>
      <c r="U54" s="2"/>
      <c r="V54" s="11"/>
      <c r="Y54" s="2"/>
      <c r="Z54" s="2"/>
      <c r="AA54" s="2"/>
      <c r="AB54" s="2"/>
      <c r="AD54" s="2"/>
      <c r="AE54" s="2"/>
      <c r="AF54" s="2"/>
      <c r="AG54" s="2"/>
      <c r="AH54" s="2"/>
      <c r="AI54" s="2"/>
      <c r="AJ54" s="2"/>
      <c r="AK54" s="2"/>
    </row>
    <row r="55" spans="1:39" x14ac:dyDescent="0.2">
      <c r="A55" s="34" t="s">
        <v>199</v>
      </c>
      <c r="B55" s="34" t="s">
        <v>200</v>
      </c>
      <c r="C55" s="34" t="s">
        <v>201</v>
      </c>
      <c r="D55" s="34" t="s">
        <v>41</v>
      </c>
      <c r="E55" s="8"/>
      <c r="F55" s="14">
        <v>10430000</v>
      </c>
      <c r="G55" s="15">
        <v>0.15</v>
      </c>
      <c r="H55" s="14">
        <f>[1]!Tabla1[[#This Row],[Recupero]]*[1]!Tabla1[[#This Row],[%]]</f>
        <v>1249999.7999999998</v>
      </c>
      <c r="I55" s="16" t="s">
        <v>202</v>
      </c>
      <c r="J55" s="17">
        <v>45966</v>
      </c>
      <c r="K55" s="16" t="s">
        <v>114</v>
      </c>
      <c r="L55" s="16" t="s">
        <v>114</v>
      </c>
      <c r="M55" s="12" t="s">
        <v>115</v>
      </c>
      <c r="N55" s="18"/>
      <c r="O55" s="11">
        <v>45968</v>
      </c>
      <c r="P55" s="18" t="s">
        <v>123</v>
      </c>
      <c r="R55" s="2"/>
      <c r="T55" s="2"/>
      <c r="U55" s="2"/>
      <c r="V55" s="1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9" x14ac:dyDescent="0.2">
      <c r="A56" s="34" t="s">
        <v>203</v>
      </c>
      <c r="B56" s="34" t="s">
        <v>204</v>
      </c>
      <c r="C56" s="34" t="s">
        <v>205</v>
      </c>
      <c r="D56" s="34" t="s">
        <v>172</v>
      </c>
      <c r="E56" s="8"/>
      <c r="F56" s="14">
        <v>1200000</v>
      </c>
      <c r="G56" s="15">
        <v>0.3</v>
      </c>
      <c r="H56" s="14">
        <f>[1]!Tabla1[[#This Row],[Recupero]]*[1]!Tabla1[[#This Row],[%]]</f>
        <v>206250</v>
      </c>
      <c r="I56" s="10" t="s">
        <v>168</v>
      </c>
      <c r="J56" s="17">
        <v>45968</v>
      </c>
      <c r="K56" s="16" t="s">
        <v>114</v>
      </c>
      <c r="L56" s="16" t="s">
        <v>114</v>
      </c>
      <c r="M56" s="12" t="s">
        <v>115</v>
      </c>
      <c r="N56" s="18"/>
      <c r="O56" s="11">
        <v>45970</v>
      </c>
      <c r="P56" s="18" t="s">
        <v>123</v>
      </c>
      <c r="R56" s="2"/>
      <c r="U56" s="2"/>
      <c r="V56" s="1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M56" s="2"/>
    </row>
    <row r="57" spans="1:39" x14ac:dyDescent="0.2">
      <c r="A57" s="34" t="s">
        <v>206</v>
      </c>
      <c r="B57" s="34" t="s">
        <v>207</v>
      </c>
      <c r="C57" s="34" t="s">
        <v>208</v>
      </c>
      <c r="D57" s="34" t="s">
        <v>36</v>
      </c>
      <c r="E57" s="8"/>
      <c r="F57" s="14">
        <v>2500000</v>
      </c>
      <c r="G57" s="15">
        <v>0.3</v>
      </c>
      <c r="H57" s="14">
        <f>[1]!Tabla1[[#This Row],[Recupero]]*[1]!Tabla1[[#This Row],[%]]</f>
        <v>300000</v>
      </c>
      <c r="I57" s="16" t="s">
        <v>187</v>
      </c>
      <c r="J57" s="25">
        <v>45971</v>
      </c>
      <c r="K57" s="16" t="s">
        <v>114</v>
      </c>
      <c r="L57" s="16" t="s">
        <v>114</v>
      </c>
      <c r="M57" s="12" t="s">
        <v>115</v>
      </c>
      <c r="N57" s="18"/>
      <c r="O57" s="11">
        <v>45972</v>
      </c>
      <c r="P57" s="18" t="s">
        <v>123</v>
      </c>
      <c r="R57" s="2"/>
      <c r="T57" s="2"/>
      <c r="U57" s="35"/>
      <c r="V57" s="11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9" x14ac:dyDescent="0.2">
      <c r="A58" s="34" t="s">
        <v>209</v>
      </c>
      <c r="B58" s="34" t="s">
        <v>210</v>
      </c>
      <c r="C58" s="34" t="s">
        <v>211</v>
      </c>
      <c r="D58" s="34" t="s">
        <v>36</v>
      </c>
      <c r="E58" s="8"/>
      <c r="F58" s="14">
        <v>5840000</v>
      </c>
      <c r="G58" s="15">
        <v>0.25</v>
      </c>
      <c r="H58" s="14">
        <f>[1]!Tabla1[[#This Row],[Recupero]]*[1]!Tabla1[[#This Row],[%]]</f>
        <v>810000</v>
      </c>
      <c r="I58" s="16" t="s">
        <v>113</v>
      </c>
      <c r="J58" s="17">
        <v>45972</v>
      </c>
      <c r="K58" s="16" t="s">
        <v>114</v>
      </c>
      <c r="L58" s="16" t="s">
        <v>114</v>
      </c>
      <c r="M58" s="12" t="s">
        <v>115</v>
      </c>
      <c r="N58" s="18"/>
      <c r="O58" s="11">
        <v>45973</v>
      </c>
      <c r="P58" s="18" t="s">
        <v>123</v>
      </c>
      <c r="R58" s="2"/>
      <c r="T58" s="2"/>
      <c r="U58" s="2"/>
      <c r="V58" s="11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9" x14ac:dyDescent="0.2">
      <c r="A59" s="34" t="s">
        <v>212</v>
      </c>
      <c r="B59" s="34" t="s">
        <v>213</v>
      </c>
      <c r="C59" s="34" t="s">
        <v>214</v>
      </c>
      <c r="D59" s="34" t="s">
        <v>41</v>
      </c>
      <c r="E59" s="8"/>
      <c r="F59" s="14">
        <v>6000000</v>
      </c>
      <c r="G59" s="15">
        <v>0.3</v>
      </c>
      <c r="H59" s="14">
        <f>[1]!Tabla1[[#This Row],[Recupero]]*[1]!Tabla1[[#This Row],[%]]</f>
        <v>792500</v>
      </c>
      <c r="I59" s="16" t="s">
        <v>157</v>
      </c>
      <c r="J59" s="17">
        <v>45971</v>
      </c>
      <c r="K59" s="16" t="s">
        <v>114</v>
      </c>
      <c r="L59" s="16" t="s">
        <v>114</v>
      </c>
      <c r="M59" s="12" t="s">
        <v>115</v>
      </c>
      <c r="N59" s="18"/>
      <c r="O59" s="11">
        <v>45973</v>
      </c>
      <c r="P59" s="18" t="s">
        <v>123</v>
      </c>
      <c r="R59" s="2"/>
      <c r="S59" s="2"/>
      <c r="T59" s="2"/>
      <c r="U59" s="2"/>
      <c r="V59" s="11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9" x14ac:dyDescent="0.2">
      <c r="A60" s="34" t="s">
        <v>215</v>
      </c>
      <c r="B60" s="34" t="s">
        <v>216</v>
      </c>
      <c r="C60" s="34" t="s">
        <v>217</v>
      </c>
      <c r="D60" s="34" t="s">
        <v>184</v>
      </c>
      <c r="E60" s="8"/>
      <c r="F60" s="14">
        <v>2000000</v>
      </c>
      <c r="G60" s="15">
        <v>0.3</v>
      </c>
      <c r="H60" s="14">
        <f>[1]!Tabla1[[#This Row],[Recupero]]*[1]!Tabla1[[#This Row],[%]]</f>
        <v>1350000</v>
      </c>
      <c r="I60" s="16" t="s">
        <v>198</v>
      </c>
      <c r="J60" s="17">
        <v>45981</v>
      </c>
      <c r="K60" s="16" t="s">
        <v>114</v>
      </c>
      <c r="L60" s="16" t="s">
        <v>114</v>
      </c>
      <c r="M60" s="12" t="s">
        <v>115</v>
      </c>
      <c r="N60" s="18"/>
      <c r="O60" s="11">
        <v>45980</v>
      </c>
      <c r="P60" s="18" t="s">
        <v>123</v>
      </c>
      <c r="R60" s="36"/>
      <c r="T60" s="2"/>
      <c r="U60" s="2"/>
      <c r="V60" s="11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9" x14ac:dyDescent="0.2">
      <c r="A61" s="34" t="s">
        <v>218</v>
      </c>
      <c r="B61" s="34" t="s">
        <v>219</v>
      </c>
      <c r="C61" s="34"/>
      <c r="D61" s="34" t="s">
        <v>68</v>
      </c>
      <c r="E61" s="8"/>
      <c r="F61" s="2">
        <v>465824</v>
      </c>
      <c r="G61" s="15">
        <v>0.3</v>
      </c>
      <c r="H61" s="14">
        <f>[1]!Tabla1[[#This Row],[Recupero]]*[1]!Tabla1[[#This Row],[%]]</f>
        <v>240500</v>
      </c>
      <c r="I61" s="16" t="s">
        <v>113</v>
      </c>
      <c r="J61" s="17">
        <v>46348</v>
      </c>
      <c r="K61" s="16" t="s">
        <v>114</v>
      </c>
      <c r="L61" s="16" t="s">
        <v>114</v>
      </c>
      <c r="M61" s="12" t="s">
        <v>115</v>
      </c>
      <c r="N61" s="18"/>
      <c r="O61" s="11">
        <v>45981</v>
      </c>
      <c r="P61" s="18" t="s">
        <v>158</v>
      </c>
      <c r="R61" s="2"/>
      <c r="S61" s="2"/>
      <c r="T61" s="2"/>
      <c r="U61" s="2"/>
      <c r="V61" s="11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9" x14ac:dyDescent="0.2">
      <c r="A62" s="37" t="s">
        <v>220</v>
      </c>
      <c r="B62" s="37" t="s">
        <v>221</v>
      </c>
      <c r="C62" s="37"/>
      <c r="D62" s="37" t="s">
        <v>68</v>
      </c>
      <c r="E62" s="8"/>
      <c r="F62" s="19">
        <v>1800000</v>
      </c>
      <c r="G62" s="20">
        <v>0.3</v>
      </c>
      <c r="H62" s="19">
        <f>[1]!Tabla1[[#This Row],[Recupero]]*[1]!Tabla1[[#This Row],[%]]</f>
        <v>200000</v>
      </c>
      <c r="I62" s="21" t="s">
        <v>113</v>
      </c>
      <c r="J62" s="22">
        <v>46361</v>
      </c>
      <c r="K62" s="21" t="s">
        <v>114</v>
      </c>
      <c r="L62" s="21" t="s">
        <v>114</v>
      </c>
      <c r="M62" s="12" t="s">
        <v>115</v>
      </c>
      <c r="N62" s="12"/>
      <c r="O62" s="11">
        <v>45986</v>
      </c>
      <c r="P62" s="12" t="s">
        <v>64</v>
      </c>
      <c r="R62" s="2"/>
      <c r="U62" s="2"/>
      <c r="V62" s="11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M62" s="2"/>
    </row>
    <row r="63" spans="1:39" x14ac:dyDescent="0.2">
      <c r="A63" s="37" t="s">
        <v>116</v>
      </c>
      <c r="B63" s="37" t="s">
        <v>222</v>
      </c>
      <c r="C63" s="37" t="s">
        <v>223</v>
      </c>
      <c r="D63" s="37" t="s">
        <v>41</v>
      </c>
      <c r="E63" s="8"/>
      <c r="F63" s="19">
        <v>3000000</v>
      </c>
      <c r="G63" s="20">
        <v>0.3</v>
      </c>
      <c r="H63" s="19">
        <f>[1]!Tabla1[[#This Row],[Recupero]]*[1]!Tabla1[[#This Row],[%]]</f>
        <v>420000</v>
      </c>
      <c r="I63" s="21" t="s">
        <v>187</v>
      </c>
      <c r="J63" s="8">
        <v>45991</v>
      </c>
      <c r="K63" s="21" t="s">
        <v>114</v>
      </c>
      <c r="L63" s="21" t="s">
        <v>114</v>
      </c>
      <c r="M63" s="12" t="s">
        <v>115</v>
      </c>
      <c r="N63" s="12"/>
      <c r="O63" s="11">
        <v>45987</v>
      </c>
      <c r="P63" s="12" t="s">
        <v>123</v>
      </c>
      <c r="R63" s="2"/>
      <c r="S63" s="2"/>
      <c r="T63" s="2"/>
      <c r="U63" s="2"/>
      <c r="V63" s="11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9" x14ac:dyDescent="0.2">
      <c r="A64" s="37" t="s">
        <v>224</v>
      </c>
      <c r="B64" s="37" t="s">
        <v>225</v>
      </c>
      <c r="C64" s="37" t="s">
        <v>226</v>
      </c>
      <c r="D64" s="37" t="s">
        <v>184</v>
      </c>
      <c r="E64" s="8"/>
      <c r="F64" s="19">
        <v>5500000</v>
      </c>
      <c r="G64" s="20">
        <v>0.3</v>
      </c>
      <c r="H64" s="19">
        <f>[1]!Tabla1[[#This Row],[Recupero]]*[1]!Tabla1[[#This Row],[%]]</f>
        <v>300000.0000006</v>
      </c>
      <c r="I64" s="21" t="s">
        <v>157</v>
      </c>
      <c r="J64" s="22">
        <v>45991</v>
      </c>
      <c r="K64" s="21" t="s">
        <v>114</v>
      </c>
      <c r="L64" s="21" t="s">
        <v>114</v>
      </c>
      <c r="M64" s="12" t="s">
        <v>115</v>
      </c>
      <c r="N64" s="12"/>
      <c r="O64" s="11">
        <v>45992</v>
      </c>
      <c r="P64" s="12" t="s">
        <v>64</v>
      </c>
      <c r="R64" s="2"/>
      <c r="T64" s="2"/>
      <c r="U64" s="2"/>
      <c r="V64" s="1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9" x14ac:dyDescent="0.2">
      <c r="A65" s="37" t="s">
        <v>227</v>
      </c>
      <c r="B65" s="37" t="s">
        <v>228</v>
      </c>
      <c r="C65" s="37" t="s">
        <v>229</v>
      </c>
      <c r="D65" s="37" t="s">
        <v>41</v>
      </c>
      <c r="E65" s="8"/>
      <c r="F65" s="19">
        <v>4500000</v>
      </c>
      <c r="G65" s="20">
        <v>0.3</v>
      </c>
      <c r="H65" s="19">
        <f>[1]!Tabla1[[#This Row],[Recupero]]*[1]!Tabla1[[#This Row],[%]]</f>
        <v>450000</v>
      </c>
      <c r="I65" s="21" t="s">
        <v>230</v>
      </c>
      <c r="J65" s="8">
        <v>45991</v>
      </c>
      <c r="K65" s="21" t="s">
        <v>114</v>
      </c>
      <c r="L65" s="21" t="s">
        <v>114</v>
      </c>
      <c r="M65" s="12" t="s">
        <v>115</v>
      </c>
      <c r="N65" s="12"/>
      <c r="O65" s="11">
        <v>45994</v>
      </c>
      <c r="P65" s="12" t="s">
        <v>148</v>
      </c>
      <c r="R65" s="2"/>
      <c r="S65" s="2"/>
      <c r="T65" s="2"/>
      <c r="U65" s="2"/>
      <c r="V65" s="11"/>
      <c r="Z65" s="2"/>
      <c r="AA65" s="2"/>
      <c r="AC65" s="2"/>
      <c r="AE65" s="2"/>
      <c r="AF65" s="2"/>
      <c r="AG65" s="2"/>
      <c r="AH65" s="2"/>
      <c r="AI65" s="2"/>
      <c r="AJ65" s="2"/>
      <c r="AK65" s="2"/>
    </row>
    <row r="66" spans="1:39" x14ac:dyDescent="0.2">
      <c r="A66" s="37" t="s">
        <v>231</v>
      </c>
      <c r="B66" s="37" t="s">
        <v>232</v>
      </c>
      <c r="C66" s="37" t="s">
        <v>233</v>
      </c>
      <c r="D66" s="37" t="s">
        <v>36</v>
      </c>
      <c r="E66" s="8"/>
      <c r="F66" s="19">
        <v>450000</v>
      </c>
      <c r="G66" s="20">
        <v>0.44444499999999998</v>
      </c>
      <c r="H66" s="19">
        <f>[1]!Tabla1[[#This Row],[Recupero]]*[1]!Tabla1[[#This Row],[%]]</f>
        <v>1200000</v>
      </c>
      <c r="I66" s="21" t="s">
        <v>113</v>
      </c>
      <c r="J66" s="22">
        <v>45996</v>
      </c>
      <c r="K66" s="21" t="s">
        <v>114</v>
      </c>
      <c r="L66" s="21" t="s">
        <v>114</v>
      </c>
      <c r="M66" s="12" t="s">
        <v>115</v>
      </c>
      <c r="N66" s="12"/>
      <c r="O66" s="11">
        <v>45995</v>
      </c>
      <c r="P66" s="12" t="s">
        <v>148</v>
      </c>
      <c r="R66" s="2"/>
      <c r="U66" s="2"/>
      <c r="V66" s="1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M66" s="2"/>
    </row>
    <row r="67" spans="1:39" x14ac:dyDescent="0.2">
      <c r="A67" s="37" t="s">
        <v>234</v>
      </c>
      <c r="B67" s="37" t="s">
        <v>235</v>
      </c>
      <c r="C67" s="37" t="s">
        <v>67</v>
      </c>
      <c r="D67" s="37" t="s">
        <v>68</v>
      </c>
      <c r="E67" s="8"/>
      <c r="F67" s="19">
        <v>3000000</v>
      </c>
      <c r="G67" s="20">
        <v>0.3</v>
      </c>
      <c r="H67" s="19">
        <f>[1]!Tabla1[[#This Row],[Recupero]]*[1]!Tabla1[[#This Row],[%]]</f>
        <v>1050000</v>
      </c>
      <c r="I67" s="21" t="s">
        <v>187</v>
      </c>
      <c r="J67" s="22">
        <v>46003</v>
      </c>
      <c r="K67" s="21" t="s">
        <v>114</v>
      </c>
      <c r="L67" s="21" t="s">
        <v>114</v>
      </c>
      <c r="M67" s="12" t="s">
        <v>115</v>
      </c>
      <c r="N67" s="12"/>
      <c r="O67" s="11">
        <v>46003</v>
      </c>
      <c r="P67" s="12" t="s">
        <v>158</v>
      </c>
      <c r="R67" s="2"/>
      <c r="U67" s="2"/>
      <c r="V67" s="1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M67" s="2"/>
    </row>
    <row r="68" spans="1:39" x14ac:dyDescent="0.2">
      <c r="A68" s="37" t="s">
        <v>236</v>
      </c>
      <c r="B68" s="37" t="s">
        <v>237</v>
      </c>
      <c r="C68" s="37" t="s">
        <v>67</v>
      </c>
      <c r="D68" s="37" t="s">
        <v>68</v>
      </c>
      <c r="E68" s="8"/>
      <c r="F68" s="19">
        <v>600000</v>
      </c>
      <c r="G68" s="20">
        <v>0.41666700000000001</v>
      </c>
      <c r="H68" s="19">
        <f>[1]!Tabla1[[#This Row],[Recupero]]*[1]!Tabla1[[#This Row],[%]]</f>
        <v>842343.9</v>
      </c>
      <c r="I68" s="21" t="s">
        <v>113</v>
      </c>
      <c r="J68" s="22">
        <v>46000</v>
      </c>
      <c r="K68" s="21" t="s">
        <v>114</v>
      </c>
      <c r="L68" s="21" t="s">
        <v>114</v>
      </c>
      <c r="M68" s="12" t="s">
        <v>115</v>
      </c>
      <c r="N68" s="12"/>
      <c r="O68" s="11">
        <v>46006</v>
      </c>
      <c r="P68" s="12" t="s">
        <v>64</v>
      </c>
      <c r="R68" s="2"/>
      <c r="U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M68" s="2"/>
    </row>
    <row r="69" spans="1:39" x14ac:dyDescent="0.2">
      <c r="A69" s="37" t="s">
        <v>238</v>
      </c>
      <c r="B69" s="38" t="s">
        <v>239</v>
      </c>
      <c r="C69" s="37" t="s">
        <v>67</v>
      </c>
      <c r="D69" s="37" t="s">
        <v>68</v>
      </c>
      <c r="E69" s="8"/>
      <c r="F69" s="19">
        <v>2500000</v>
      </c>
      <c r="G69" s="20">
        <v>0.28000000000000003</v>
      </c>
      <c r="H69" s="19">
        <f>[1]!Tabla1[[#This Row],[Recupero]]*[1]!Tabla1[[#This Row],[%]]</f>
        <v>535000</v>
      </c>
      <c r="I69" s="21" t="s">
        <v>198</v>
      </c>
      <c r="J69" s="22">
        <v>46011</v>
      </c>
      <c r="K69" s="21" t="s">
        <v>114</v>
      </c>
      <c r="L69" s="21" t="s">
        <v>114</v>
      </c>
      <c r="M69" s="12" t="s">
        <v>115</v>
      </c>
      <c r="N69" s="12"/>
      <c r="O69" s="11">
        <v>46006</v>
      </c>
      <c r="P69" s="12" t="s">
        <v>64</v>
      </c>
      <c r="R69" s="2"/>
      <c r="U69" s="2"/>
      <c r="V69" s="11"/>
      <c r="Z69" s="2"/>
      <c r="AA69" s="2"/>
      <c r="AB69" s="2"/>
      <c r="AC69" s="2"/>
      <c r="AE69" s="2"/>
      <c r="AF69" s="2"/>
      <c r="AG69" s="2"/>
      <c r="AH69" s="2"/>
      <c r="AI69" s="2"/>
      <c r="AJ69" s="2"/>
      <c r="AK69" s="2"/>
      <c r="AM69" s="2"/>
    </row>
    <row r="70" spans="1:39" x14ac:dyDescent="0.2">
      <c r="A70" s="37" t="s">
        <v>240</v>
      </c>
      <c r="B70" s="37" t="s">
        <v>241</v>
      </c>
      <c r="C70" s="37" t="s">
        <v>67</v>
      </c>
      <c r="D70" s="37" t="s">
        <v>68</v>
      </c>
      <c r="E70" s="8"/>
      <c r="F70" s="19">
        <v>900000</v>
      </c>
      <c r="G70" s="20">
        <v>0.33333360000000001</v>
      </c>
      <c r="H70" s="19">
        <f>[1]!Tabla1[[#This Row],[Recupero]]*[1]!Tabla1[[#This Row],[%]]</f>
        <v>1200000</v>
      </c>
      <c r="I70" s="21" t="s">
        <v>113</v>
      </c>
      <c r="J70" s="22">
        <v>46009</v>
      </c>
      <c r="K70" s="21" t="s">
        <v>114</v>
      </c>
      <c r="L70" s="21" t="s">
        <v>114</v>
      </c>
      <c r="M70" s="12" t="s">
        <v>115</v>
      </c>
      <c r="N70" s="12"/>
      <c r="O70" s="11">
        <v>46009</v>
      </c>
      <c r="P70" s="12" t="s">
        <v>64</v>
      </c>
      <c r="R70" s="2"/>
      <c r="U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M70" s="2"/>
    </row>
    <row r="71" spans="1:39" x14ac:dyDescent="0.2">
      <c r="A71" s="37" t="s">
        <v>242</v>
      </c>
      <c r="B71" s="37" t="s">
        <v>243</v>
      </c>
      <c r="C71" s="37" t="s">
        <v>244</v>
      </c>
      <c r="D71" s="37" t="s">
        <v>36</v>
      </c>
      <c r="E71" s="8"/>
      <c r="F71" s="19">
        <v>709000</v>
      </c>
      <c r="G71" s="20">
        <v>0.3</v>
      </c>
      <c r="H71" s="19">
        <f>[1]!Tabla1[[#This Row],[Recupero]]*[1]!Tabla1[[#This Row],[%]]</f>
        <v>1800000</v>
      </c>
      <c r="I71" s="21" t="s">
        <v>113</v>
      </c>
      <c r="J71" s="22">
        <v>46009</v>
      </c>
      <c r="K71" s="21" t="s">
        <v>114</v>
      </c>
      <c r="L71" s="21" t="s">
        <v>114</v>
      </c>
      <c r="M71" s="12" t="s">
        <v>115</v>
      </c>
      <c r="N71" s="12"/>
      <c r="O71" s="11">
        <v>46009</v>
      </c>
      <c r="P71" s="12" t="s">
        <v>123</v>
      </c>
      <c r="R71" s="2"/>
      <c r="T71" s="2"/>
      <c r="U71" s="2"/>
      <c r="V71" s="11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9" x14ac:dyDescent="0.2">
      <c r="A72" s="37" t="s">
        <v>245</v>
      </c>
      <c r="B72" s="37" t="s">
        <v>246</v>
      </c>
      <c r="C72" s="37" t="s">
        <v>247</v>
      </c>
      <c r="D72" s="37" t="s">
        <v>41</v>
      </c>
      <c r="E72" s="8"/>
      <c r="F72" s="19">
        <v>200000</v>
      </c>
      <c r="G72" s="20">
        <v>1</v>
      </c>
      <c r="H72" s="19">
        <f>[1]!Tabla1[[#This Row],[Recupero]]*[1]!Tabla1[[#This Row],[%]]</f>
        <v>300000.25</v>
      </c>
      <c r="I72" s="21" t="s">
        <v>113</v>
      </c>
      <c r="J72" s="22">
        <v>46027</v>
      </c>
      <c r="K72" s="21" t="s">
        <v>114</v>
      </c>
      <c r="L72" s="21" t="s">
        <v>114</v>
      </c>
      <c r="M72" s="12" t="s">
        <v>115</v>
      </c>
      <c r="N72" s="12"/>
      <c r="O72" s="11">
        <v>46013</v>
      </c>
      <c r="P72" s="12" t="s">
        <v>64</v>
      </c>
      <c r="R72" s="2"/>
      <c r="T72" s="2"/>
      <c r="U72" s="2"/>
      <c r="V72" s="11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9" x14ac:dyDescent="0.2">
      <c r="A73" s="37" t="s">
        <v>116</v>
      </c>
      <c r="B73" s="37" t="s">
        <v>182</v>
      </c>
      <c r="C73" s="37" t="s">
        <v>183</v>
      </c>
      <c r="D73" s="37" t="s">
        <v>184</v>
      </c>
      <c r="E73" s="8"/>
      <c r="F73" s="39">
        <v>379000</v>
      </c>
      <c r="G73" s="20">
        <v>1</v>
      </c>
      <c r="H73" s="19">
        <f>[1]!Tabla1[[#This Row],[Recupero]]*[1]!Tabla1[[#This Row],[%]]</f>
        <v>1350000</v>
      </c>
      <c r="I73" s="21" t="s">
        <v>113</v>
      </c>
      <c r="J73" s="8">
        <v>46019</v>
      </c>
      <c r="K73" s="21" t="s">
        <v>114</v>
      </c>
      <c r="L73" s="21" t="s">
        <v>114</v>
      </c>
      <c r="M73" s="12" t="s">
        <v>115</v>
      </c>
      <c r="N73" s="19"/>
      <c r="O73" s="11">
        <v>46019</v>
      </c>
      <c r="P73" s="12" t="s">
        <v>148</v>
      </c>
      <c r="R73" s="2"/>
      <c r="S73" s="2"/>
      <c r="T73" s="2"/>
      <c r="U73" s="2"/>
      <c r="V73" s="11"/>
      <c r="W73" s="2"/>
      <c r="X73" s="2"/>
      <c r="Y73" s="2"/>
      <c r="Z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9" x14ac:dyDescent="0.2">
      <c r="A74" s="37" t="s">
        <v>248</v>
      </c>
      <c r="B74" s="37" t="s">
        <v>249</v>
      </c>
      <c r="C74" s="37" t="s">
        <v>250</v>
      </c>
      <c r="D74" s="37" t="s">
        <v>51</v>
      </c>
      <c r="E74" s="8"/>
      <c r="F74" s="19">
        <v>1075000</v>
      </c>
      <c r="G74" s="20">
        <v>0.3</v>
      </c>
      <c r="H74" s="19">
        <f>[1]!Tabla1[[#This Row],[Recupero]]*[1]!Tabla1[[#This Row],[%]]</f>
        <v>1564500</v>
      </c>
      <c r="I74" s="21" t="s">
        <v>187</v>
      </c>
      <c r="J74" s="8">
        <v>46041</v>
      </c>
      <c r="K74" s="21" t="s">
        <v>114</v>
      </c>
      <c r="L74" s="21" t="s">
        <v>114</v>
      </c>
      <c r="M74" s="12" t="s">
        <v>115</v>
      </c>
      <c r="N74" s="12"/>
      <c r="O74" s="11">
        <v>46041</v>
      </c>
      <c r="P74" s="12" t="s">
        <v>123</v>
      </c>
      <c r="R74" s="2"/>
      <c r="T74" s="2"/>
      <c r="U74" s="2"/>
      <c r="V74" s="40"/>
      <c r="X74" s="2"/>
      <c r="Y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9" x14ac:dyDescent="0.2">
      <c r="A75" s="37" t="s">
        <v>251</v>
      </c>
      <c r="B75" s="37" t="s">
        <v>252</v>
      </c>
      <c r="C75" s="37"/>
      <c r="D75" s="37" t="s">
        <v>68</v>
      </c>
      <c r="E75" s="8"/>
      <c r="F75" s="19">
        <v>1800000</v>
      </c>
      <c r="G75" s="20">
        <v>0.3</v>
      </c>
      <c r="H75" s="19">
        <f>[1]!Tabla1[[#This Row],[Recupero]]*[1]!Tabla1[[#This Row],[%]]</f>
        <v>360000</v>
      </c>
      <c r="I75" s="21" t="s">
        <v>113</v>
      </c>
      <c r="J75" s="22">
        <v>45677</v>
      </c>
      <c r="K75" s="21" t="s">
        <v>114</v>
      </c>
      <c r="L75" s="21" t="s">
        <v>114</v>
      </c>
      <c r="M75" s="12" t="s">
        <v>115</v>
      </c>
      <c r="N75" s="12"/>
      <c r="O75" s="11">
        <v>46042</v>
      </c>
      <c r="P75" s="12" t="s">
        <v>148</v>
      </c>
      <c r="R75" s="2"/>
      <c r="U75" s="2"/>
      <c r="V75" s="40"/>
      <c r="X75" s="2"/>
      <c r="Y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M75" s="2"/>
    </row>
    <row r="76" spans="1:39" x14ac:dyDescent="0.2">
      <c r="A76" s="37" t="s">
        <v>253</v>
      </c>
      <c r="B76" s="37" t="s">
        <v>254</v>
      </c>
      <c r="C76" s="37" t="s">
        <v>255</v>
      </c>
      <c r="D76" s="37" t="s">
        <v>256</v>
      </c>
      <c r="E76" s="8"/>
      <c r="F76" s="19">
        <v>1512000</v>
      </c>
      <c r="G76" s="20">
        <v>0.3</v>
      </c>
      <c r="H76" s="19">
        <f>[1]!Tabla1[[#This Row],[Recupero]]*[1]!Tabla1[[#This Row],[%]]</f>
        <v>750000</v>
      </c>
      <c r="I76" s="21" t="s">
        <v>157</v>
      </c>
      <c r="J76" s="22">
        <v>45677</v>
      </c>
      <c r="K76" s="21" t="s">
        <v>114</v>
      </c>
      <c r="L76" s="21" t="s">
        <v>114</v>
      </c>
      <c r="M76" s="12" t="s">
        <v>115</v>
      </c>
      <c r="N76" s="12"/>
      <c r="O76" s="11">
        <v>46042</v>
      </c>
      <c r="P76" s="12" t="s">
        <v>123</v>
      </c>
      <c r="R76" s="2"/>
      <c r="S76" s="2"/>
      <c r="T76" s="2"/>
      <c r="U76" s="2"/>
      <c r="V76" s="11"/>
      <c r="W76" s="2"/>
      <c r="X76" s="2"/>
      <c r="Y76" s="2"/>
      <c r="Z76" s="2"/>
      <c r="AB76" s="2"/>
      <c r="AD76" s="2"/>
      <c r="AE76" s="2"/>
      <c r="AF76" s="2"/>
      <c r="AG76" s="2"/>
      <c r="AH76" s="2"/>
      <c r="AI76" s="2"/>
      <c r="AJ76" s="2"/>
      <c r="AK76" s="2"/>
    </row>
    <row r="77" spans="1:39" x14ac:dyDescent="0.2">
      <c r="A77" s="37" t="s">
        <v>257</v>
      </c>
      <c r="B77" s="37" t="s">
        <v>258</v>
      </c>
      <c r="C77" s="37" t="s">
        <v>259</v>
      </c>
      <c r="D77" s="37" t="s">
        <v>41</v>
      </c>
      <c r="E77" s="8"/>
      <c r="F77" s="19">
        <v>1500000</v>
      </c>
      <c r="G77" s="20">
        <v>0.3</v>
      </c>
      <c r="H77" s="19">
        <f>[1]!Tabla1[[#This Row],[Recupero]]*[1]!Tabla1[[#This Row],[%]]</f>
        <v>1460000</v>
      </c>
      <c r="I77" s="21" t="s">
        <v>187</v>
      </c>
      <c r="J77" s="8">
        <v>46038</v>
      </c>
      <c r="K77" s="21" t="s">
        <v>114</v>
      </c>
      <c r="L77" s="21" t="s">
        <v>114</v>
      </c>
      <c r="M77" s="12" t="s">
        <v>115</v>
      </c>
      <c r="N77" s="12"/>
      <c r="O77" s="11">
        <v>46043</v>
      </c>
      <c r="P77" s="12" t="s">
        <v>123</v>
      </c>
      <c r="R77" s="2"/>
      <c r="T77" s="2"/>
      <c r="V77" s="40"/>
      <c r="Y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9" x14ac:dyDescent="0.2">
      <c r="A78" s="37" t="s">
        <v>260</v>
      </c>
      <c r="B78" s="37" t="s">
        <v>261</v>
      </c>
      <c r="C78" s="37" t="s">
        <v>67</v>
      </c>
      <c r="D78" s="37" t="s">
        <v>68</v>
      </c>
      <c r="E78" s="8"/>
      <c r="F78" s="19">
        <v>1200000</v>
      </c>
      <c r="G78" s="20">
        <v>0.3</v>
      </c>
      <c r="H78" s="19">
        <f>[1]!Tabla1[[#This Row],[Recupero]]*[1]!Tabla1[[#This Row],[%]]</f>
        <v>1800000</v>
      </c>
      <c r="I78" s="21" t="s">
        <v>187</v>
      </c>
      <c r="J78" s="22">
        <v>45679</v>
      </c>
      <c r="K78" s="21" t="s">
        <v>114</v>
      </c>
      <c r="L78" s="21" t="s">
        <v>114</v>
      </c>
      <c r="M78" s="12" t="s">
        <v>115</v>
      </c>
      <c r="N78" s="12"/>
      <c r="O78" s="11">
        <v>46043</v>
      </c>
      <c r="P78" s="12" t="s">
        <v>158</v>
      </c>
      <c r="R78" s="2"/>
      <c r="U78" s="41"/>
      <c r="V78" s="40"/>
      <c r="W78" s="2"/>
      <c r="X78" s="2"/>
      <c r="Y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M78" s="2"/>
    </row>
    <row r="79" spans="1:39" x14ac:dyDescent="0.2">
      <c r="A79" s="37" t="s">
        <v>262</v>
      </c>
      <c r="B79" s="37" t="s">
        <v>263</v>
      </c>
      <c r="C79" s="37" t="s">
        <v>264</v>
      </c>
      <c r="D79" s="37" t="s">
        <v>184</v>
      </c>
      <c r="E79" s="8"/>
      <c r="F79" s="19">
        <v>2050000</v>
      </c>
      <c r="G79" s="20">
        <v>0.3</v>
      </c>
      <c r="H79" s="19">
        <f>[1]!Tabla1[[#This Row],[Recupero]]*[1]!Tabla1[[#This Row],[%]]</f>
        <v>600000</v>
      </c>
      <c r="I79" s="21" t="s">
        <v>113</v>
      </c>
      <c r="J79" s="8">
        <v>46075</v>
      </c>
      <c r="K79" s="21" t="s">
        <v>114</v>
      </c>
      <c r="L79" s="21" t="s">
        <v>114</v>
      </c>
      <c r="M79" s="12" t="s">
        <v>115</v>
      </c>
      <c r="N79" s="12"/>
      <c r="O79" s="11">
        <v>46045</v>
      </c>
      <c r="P79" s="12" t="s">
        <v>158</v>
      </c>
      <c r="R79" s="2"/>
      <c r="U79" s="2"/>
      <c r="V79" s="11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M79" s="2"/>
    </row>
    <row r="80" spans="1:39" x14ac:dyDescent="0.2">
      <c r="A80" s="37" t="s">
        <v>265</v>
      </c>
      <c r="B80" s="37" t="s">
        <v>266</v>
      </c>
      <c r="C80" s="37" t="s">
        <v>267</v>
      </c>
      <c r="D80" s="37" t="s">
        <v>184</v>
      </c>
      <c r="E80" s="42"/>
      <c r="F80" s="39">
        <v>4448172</v>
      </c>
      <c r="G80" s="20">
        <v>0.3</v>
      </c>
      <c r="H80" s="19">
        <f>[1]!Tabla1[[#This Row],[Recupero]]*[1]!Tabla1[[#This Row],[%]]</f>
        <v>139747.19999999998</v>
      </c>
      <c r="I80" s="21" t="s">
        <v>113</v>
      </c>
      <c r="J80" s="8">
        <v>46058</v>
      </c>
      <c r="K80" s="21" t="s">
        <v>114</v>
      </c>
      <c r="L80" s="21" t="s">
        <v>114</v>
      </c>
      <c r="M80" s="12" t="s">
        <v>115</v>
      </c>
      <c r="N80" s="19"/>
      <c r="O80" s="11">
        <v>46058</v>
      </c>
      <c r="P80" s="12" t="s">
        <v>148</v>
      </c>
      <c r="R80" s="2"/>
      <c r="S80" s="2"/>
      <c r="T80" s="2"/>
      <c r="U80" s="2"/>
      <c r="V80" s="11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9" x14ac:dyDescent="0.2">
      <c r="A81" s="37" t="s">
        <v>268</v>
      </c>
      <c r="B81" s="37" t="s">
        <v>269</v>
      </c>
      <c r="C81" s="37" t="s">
        <v>270</v>
      </c>
      <c r="D81" s="37" t="s">
        <v>36</v>
      </c>
      <c r="E81" s="8"/>
      <c r="F81" s="19">
        <v>900000</v>
      </c>
      <c r="G81" s="20">
        <v>0.3333335</v>
      </c>
      <c r="H81" s="19">
        <f>[1]!Tabla1[[#This Row],[Recupero]]*[1]!Tabla1[[#This Row],[%]]</f>
        <v>540000</v>
      </c>
      <c r="I81" s="21" t="s">
        <v>157</v>
      </c>
      <c r="J81" s="8">
        <v>45703</v>
      </c>
      <c r="K81" s="21" t="s">
        <v>114</v>
      </c>
      <c r="L81" s="21" t="s">
        <v>114</v>
      </c>
      <c r="M81" s="12" t="s">
        <v>115</v>
      </c>
      <c r="N81" s="12"/>
      <c r="O81" s="11">
        <v>46063</v>
      </c>
      <c r="P81" s="12" t="s">
        <v>123</v>
      </c>
      <c r="R81" s="43"/>
      <c r="T81" s="2"/>
      <c r="U81" s="43"/>
      <c r="V81" s="40"/>
      <c r="Y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9" x14ac:dyDescent="0.2">
      <c r="A82" s="37" t="s">
        <v>271</v>
      </c>
      <c r="B82" s="37" t="s">
        <v>272</v>
      </c>
      <c r="C82" s="37" t="s">
        <v>273</v>
      </c>
      <c r="D82" s="37" t="s">
        <v>184</v>
      </c>
      <c r="E82" s="8"/>
      <c r="F82" s="19">
        <v>7477612</v>
      </c>
      <c r="G82" s="20">
        <v>0.3</v>
      </c>
      <c r="H82" s="19">
        <f>[1]!Tabla1[[#This Row],[Recupero]]*[1]!Tabla1[[#This Row],[%]]</f>
        <v>900000</v>
      </c>
      <c r="I82" s="21" t="s">
        <v>113</v>
      </c>
      <c r="J82" s="8">
        <v>46063</v>
      </c>
      <c r="K82" s="21" t="s">
        <v>114</v>
      </c>
      <c r="L82" s="21" t="s">
        <v>114</v>
      </c>
      <c r="M82" s="12" t="s">
        <v>274</v>
      </c>
      <c r="N82" s="19">
        <v>100000</v>
      </c>
      <c r="O82" s="11">
        <v>46063</v>
      </c>
      <c r="P82" s="12" t="s">
        <v>123</v>
      </c>
      <c r="R82" s="2"/>
      <c r="S82" s="2"/>
      <c r="T82" s="2"/>
      <c r="U82" s="19"/>
      <c r="V82" s="11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9" x14ac:dyDescent="0.2">
      <c r="A83" s="37" t="s">
        <v>275</v>
      </c>
      <c r="B83" s="37" t="s">
        <v>276</v>
      </c>
      <c r="C83" s="37" t="s">
        <v>277</v>
      </c>
      <c r="D83" s="37" t="s">
        <v>36</v>
      </c>
      <c r="E83" s="8"/>
      <c r="F83" s="19">
        <v>2400000</v>
      </c>
      <c r="G83" s="20">
        <v>0.3</v>
      </c>
      <c r="H83" s="19">
        <f>[1]!Tabla1[[#This Row],[Recupero]]*[1]!Tabla1[[#This Row],[%]]</f>
        <v>1650000</v>
      </c>
      <c r="I83" s="21" t="s">
        <v>198</v>
      </c>
      <c r="J83" s="8">
        <v>46070</v>
      </c>
      <c r="K83" s="21" t="s">
        <v>114</v>
      </c>
      <c r="L83" s="21" t="s">
        <v>114</v>
      </c>
      <c r="M83" s="12" t="s">
        <v>115</v>
      </c>
      <c r="N83" s="12"/>
      <c r="O83" s="11">
        <v>46071</v>
      </c>
      <c r="P83" s="12" t="s">
        <v>64</v>
      </c>
      <c r="T83" s="2"/>
      <c r="U83" s="2"/>
      <c r="V83" s="40"/>
      <c r="Y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9" x14ac:dyDescent="0.2">
      <c r="A84" s="37" t="s">
        <v>278</v>
      </c>
      <c r="B84" s="37" t="s">
        <v>279</v>
      </c>
      <c r="C84" s="37" t="s">
        <v>280</v>
      </c>
      <c r="D84" s="37" t="s">
        <v>41</v>
      </c>
      <c r="E84" s="8"/>
      <c r="F84" s="19">
        <v>6700000</v>
      </c>
      <c r="G84" s="20">
        <v>0.25</v>
      </c>
      <c r="H84" s="19">
        <f>[1]!Tabla1[[#This Row],[Recupero]]*[1]!Tabla1[[#This Row],[%]]</f>
        <v>1350000</v>
      </c>
      <c r="I84" s="21" t="s">
        <v>113</v>
      </c>
      <c r="J84" s="8">
        <v>45703</v>
      </c>
      <c r="K84" s="21" t="s">
        <v>114</v>
      </c>
      <c r="L84" s="21" t="s">
        <v>114</v>
      </c>
      <c r="M84" s="12" t="s">
        <v>115</v>
      </c>
      <c r="N84" s="12"/>
      <c r="O84" s="11">
        <v>46072</v>
      </c>
      <c r="P84" s="12" t="s">
        <v>148</v>
      </c>
      <c r="R84" s="2"/>
      <c r="T84" s="2"/>
      <c r="U84" s="19"/>
      <c r="V84" s="40"/>
      <c r="W84" s="19"/>
      <c r="AC84" s="2"/>
      <c r="AE84" s="2"/>
      <c r="AF84" s="2"/>
      <c r="AG84" s="2"/>
      <c r="AH84" s="2"/>
      <c r="AI84" s="2"/>
      <c r="AJ84" s="2"/>
      <c r="AK84" s="2"/>
    </row>
    <row r="85" spans="1:39" x14ac:dyDescent="0.2">
      <c r="A85" s="37" t="s">
        <v>281</v>
      </c>
      <c r="B85" s="37" t="s">
        <v>282</v>
      </c>
      <c r="C85" s="37" t="s">
        <v>283</v>
      </c>
      <c r="D85" s="37" t="s">
        <v>284</v>
      </c>
      <c r="E85" s="8"/>
      <c r="F85" s="19">
        <v>2113000</v>
      </c>
      <c r="G85" s="20">
        <v>0.3</v>
      </c>
      <c r="H85" s="19">
        <f>[1]!Tabla1[[#This Row],[Recupero]]*[1]!Tabla1[[#This Row],[%]]</f>
        <v>200000.25</v>
      </c>
      <c r="I85" s="21" t="s">
        <v>113</v>
      </c>
      <c r="J85" s="8">
        <v>46073</v>
      </c>
      <c r="K85" s="21" t="s">
        <v>114</v>
      </c>
      <c r="L85" s="21" t="s">
        <v>114</v>
      </c>
      <c r="M85" s="12" t="s">
        <v>115</v>
      </c>
      <c r="N85" s="12"/>
      <c r="O85" s="11">
        <v>46073</v>
      </c>
      <c r="P85" s="12" t="s">
        <v>148</v>
      </c>
      <c r="R85" s="2"/>
      <c r="S85" s="2"/>
      <c r="T85" s="2"/>
      <c r="U85" s="2"/>
      <c r="V85" s="40"/>
      <c r="Y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9" x14ac:dyDescent="0.2">
      <c r="A86" s="37" t="s">
        <v>285</v>
      </c>
      <c r="B86" s="37" t="s">
        <v>286</v>
      </c>
      <c r="C86" s="37" t="s">
        <v>287</v>
      </c>
      <c r="D86" s="37" t="s">
        <v>36</v>
      </c>
      <c r="E86" s="8"/>
      <c r="F86" s="19">
        <v>2250000</v>
      </c>
      <c r="G86" s="20">
        <v>0.3</v>
      </c>
      <c r="H86" s="19">
        <f>[1]!Tabla1[[#This Row],[Recupero]]*[1]!Tabla1[[#This Row],[%]]</f>
        <v>900000</v>
      </c>
      <c r="I86" s="21" t="s">
        <v>113</v>
      </c>
      <c r="J86" s="22">
        <v>46073</v>
      </c>
      <c r="K86" s="21" t="s">
        <v>114</v>
      </c>
      <c r="L86" s="21" t="s">
        <v>114</v>
      </c>
      <c r="M86" s="12" t="s">
        <v>115</v>
      </c>
      <c r="N86" s="12"/>
      <c r="O86" s="11">
        <v>46073</v>
      </c>
      <c r="P86" s="12" t="s">
        <v>148</v>
      </c>
      <c r="R86" s="2"/>
      <c r="T86" s="2"/>
      <c r="U86" s="2"/>
      <c r="V86" s="11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9" x14ac:dyDescent="0.2">
      <c r="A87" s="37" t="s">
        <v>288</v>
      </c>
      <c r="B87" s="37" t="s">
        <v>289</v>
      </c>
      <c r="C87" s="37" t="s">
        <v>290</v>
      </c>
      <c r="D87" s="37" t="s">
        <v>184</v>
      </c>
      <c r="E87" s="8"/>
      <c r="F87" s="39">
        <v>547656</v>
      </c>
      <c r="G87" s="9">
        <v>0.3</v>
      </c>
      <c r="H87" s="19">
        <f>[1]!Tabla1[[#This Row],[Recupero]]*[1]!Tabla1[[#This Row],[%]]</f>
        <v>250000.2</v>
      </c>
      <c r="I87" s="21" t="s">
        <v>291</v>
      </c>
      <c r="J87" s="8">
        <v>46081</v>
      </c>
      <c r="K87" s="21" t="s">
        <v>114</v>
      </c>
      <c r="L87" s="21" t="s">
        <v>114</v>
      </c>
      <c r="M87" s="12" t="s">
        <v>115</v>
      </c>
      <c r="N87" s="19"/>
      <c r="O87" s="11">
        <v>46081</v>
      </c>
      <c r="P87" s="12" t="s">
        <v>148</v>
      </c>
      <c r="R87" s="2"/>
      <c r="S87" s="2"/>
      <c r="T87" s="2"/>
      <c r="U87" s="2"/>
      <c r="V87" s="11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9" x14ac:dyDescent="0.2">
      <c r="A88" s="37" t="s">
        <v>292</v>
      </c>
      <c r="B88" s="37" t="s">
        <v>293</v>
      </c>
      <c r="C88" s="37" t="s">
        <v>67</v>
      </c>
      <c r="D88" s="37" t="s">
        <v>68</v>
      </c>
      <c r="E88" s="8"/>
      <c r="F88" s="19">
        <v>2900000</v>
      </c>
      <c r="G88" s="20">
        <v>0.3</v>
      </c>
      <c r="H88" s="19">
        <f>[1]!Tabla1[[#This Row],[Recupero]]*[1]!Tabla1[[#This Row],[%]]</f>
        <v>700000.00000000012</v>
      </c>
      <c r="I88" s="21" t="s">
        <v>294</v>
      </c>
      <c r="J88" s="8">
        <v>46083</v>
      </c>
      <c r="K88" s="21" t="s">
        <v>114</v>
      </c>
      <c r="L88" s="21" t="s">
        <v>114</v>
      </c>
      <c r="M88" s="12" t="s">
        <v>115</v>
      </c>
      <c r="N88" s="12"/>
      <c r="O88" s="11">
        <v>46083</v>
      </c>
      <c r="P88" s="12" t="s">
        <v>148</v>
      </c>
      <c r="R88" s="2"/>
      <c r="U88" s="2"/>
      <c r="V88" s="11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M88" s="2"/>
    </row>
    <row r="89" spans="1:39" x14ac:dyDescent="0.2">
      <c r="A89" s="37" t="s">
        <v>295</v>
      </c>
      <c r="B89" s="37" t="s">
        <v>296</v>
      </c>
      <c r="C89" s="37" t="s">
        <v>297</v>
      </c>
      <c r="D89" s="37" t="s">
        <v>184</v>
      </c>
      <c r="E89" s="8"/>
      <c r="F89" s="44">
        <v>3958033</v>
      </c>
      <c r="G89" s="20">
        <v>0.35</v>
      </c>
      <c r="H89" s="19">
        <f>[1]!Tabla1[[#This Row],[Recupero]]*[1]!Tabla1[[#This Row],[%]]</f>
        <v>300000.24</v>
      </c>
      <c r="I89" s="21" t="s">
        <v>113</v>
      </c>
      <c r="J89" s="8">
        <v>46091</v>
      </c>
      <c r="K89" s="21" t="s">
        <v>114</v>
      </c>
      <c r="L89" s="21" t="s">
        <v>114</v>
      </c>
      <c r="M89" s="12" t="s">
        <v>274</v>
      </c>
      <c r="N89" s="19">
        <v>200000</v>
      </c>
      <c r="O89" s="11">
        <v>46095</v>
      </c>
      <c r="P89" s="12" t="s">
        <v>148</v>
      </c>
      <c r="R89" s="2"/>
      <c r="S89" s="2"/>
      <c r="T89" s="2"/>
      <c r="U89" s="2"/>
      <c r="V89" s="2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9" x14ac:dyDescent="0.2">
      <c r="A90" s="37" t="s">
        <v>298</v>
      </c>
      <c r="B90" s="37" t="s">
        <v>299</v>
      </c>
      <c r="C90" s="37" t="s">
        <v>300</v>
      </c>
      <c r="D90" s="37" t="s">
        <v>41</v>
      </c>
      <c r="E90" s="8"/>
      <c r="F90" s="19">
        <v>5000000</v>
      </c>
      <c r="G90" s="20">
        <v>0.3</v>
      </c>
      <c r="H90" s="19">
        <f>[1]!Tabla1[[#This Row],[Recupero]]*[1]!Tabla1[[#This Row],[%]]</f>
        <v>212700</v>
      </c>
      <c r="I90" s="21" t="s">
        <v>113</v>
      </c>
      <c r="J90" s="8">
        <v>46111</v>
      </c>
      <c r="K90" s="21" t="s">
        <v>114</v>
      </c>
      <c r="L90" s="21" t="s">
        <v>114</v>
      </c>
      <c r="M90" s="12" t="s">
        <v>115</v>
      </c>
      <c r="N90" s="12"/>
      <c r="O90" s="11">
        <v>46099</v>
      </c>
      <c r="P90" s="12" t="s">
        <v>148</v>
      </c>
      <c r="R90" s="45"/>
      <c r="T90" s="2"/>
      <c r="U90" s="2"/>
      <c r="V90" s="2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9" x14ac:dyDescent="0.2">
      <c r="A91" s="37" t="s">
        <v>301</v>
      </c>
      <c r="B91" s="37" t="s">
        <v>302</v>
      </c>
      <c r="C91" s="37" t="s">
        <v>303</v>
      </c>
      <c r="D91" s="37" t="s">
        <v>184</v>
      </c>
      <c r="E91" s="8"/>
      <c r="F91" s="19">
        <v>549000</v>
      </c>
      <c r="G91" s="9">
        <v>0.54649999999999999</v>
      </c>
      <c r="H91" s="19">
        <f>[1]!Tabla1[[#This Row],[Recupero]]*[1]!Tabla1[[#This Row],[%]]</f>
        <v>200000</v>
      </c>
      <c r="I91" s="21" t="s">
        <v>113</v>
      </c>
      <c r="J91" s="22">
        <v>46101</v>
      </c>
      <c r="K91" s="21" t="s">
        <v>114</v>
      </c>
      <c r="L91" s="21" t="s">
        <v>114</v>
      </c>
      <c r="M91" s="12" t="s">
        <v>115</v>
      </c>
      <c r="N91" s="12"/>
      <c r="O91" s="11">
        <v>46100</v>
      </c>
      <c r="P91" s="12" t="s">
        <v>64</v>
      </c>
      <c r="R91" s="2"/>
      <c r="U91" s="2"/>
      <c r="V91" s="24"/>
      <c r="AA91" s="46"/>
      <c r="AB91" s="2"/>
      <c r="AC91" s="2"/>
      <c r="AD91" s="2"/>
      <c r="AE91" s="2"/>
      <c r="AF91" s="2"/>
      <c r="AG91" s="2"/>
      <c r="AH91" s="2"/>
      <c r="AI91" s="2"/>
      <c r="AJ91" s="2"/>
      <c r="AK91" s="2"/>
      <c r="AM91" s="2"/>
    </row>
    <row r="92" spans="1:39" x14ac:dyDescent="0.2">
      <c r="A92" s="37" t="s">
        <v>116</v>
      </c>
      <c r="B92" s="37" t="s">
        <v>304</v>
      </c>
      <c r="C92" s="37" t="s">
        <v>305</v>
      </c>
      <c r="D92" s="37" t="s">
        <v>51</v>
      </c>
      <c r="E92" s="8"/>
      <c r="F92" s="19">
        <v>2700000</v>
      </c>
      <c r="G92" s="20">
        <v>0.3</v>
      </c>
      <c r="H92" s="19">
        <f>[1]!Tabla1[[#This Row],[Recupero]]*[1]!Tabla1[[#This Row],[%]]</f>
        <v>379000</v>
      </c>
      <c r="I92" s="21" t="s">
        <v>230</v>
      </c>
      <c r="J92" s="8">
        <v>46101</v>
      </c>
      <c r="K92" s="21" t="s">
        <v>114</v>
      </c>
      <c r="L92" s="21" t="s">
        <v>114</v>
      </c>
      <c r="M92" s="12" t="s">
        <v>115</v>
      </c>
      <c r="N92" s="12"/>
      <c r="O92" s="11">
        <v>46106</v>
      </c>
      <c r="P92" s="12" t="s">
        <v>123</v>
      </c>
      <c r="R92" s="2"/>
      <c r="U92" s="2"/>
      <c r="V92" s="47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M92" s="2"/>
    </row>
    <row r="93" spans="1:39" x14ac:dyDescent="0.2">
      <c r="A93" s="37" t="s">
        <v>306</v>
      </c>
      <c r="B93" s="37" t="s">
        <v>307</v>
      </c>
      <c r="C93" s="37" t="s">
        <v>308</v>
      </c>
      <c r="D93" s="37" t="s">
        <v>41</v>
      </c>
      <c r="E93" s="8"/>
      <c r="F93" s="19">
        <v>1600000</v>
      </c>
      <c r="G93" s="20">
        <v>0.3</v>
      </c>
      <c r="H93" s="19">
        <f>[1]!Tabla1[[#This Row],[Recupero]]*[1]!Tabla1[[#This Row],[%]]</f>
        <v>322500</v>
      </c>
      <c r="I93" s="21" t="s">
        <v>113</v>
      </c>
      <c r="J93" s="8">
        <v>49761</v>
      </c>
      <c r="K93" s="21" t="s">
        <v>114</v>
      </c>
      <c r="L93" s="21" t="s">
        <v>114</v>
      </c>
      <c r="M93" s="12" t="s">
        <v>115</v>
      </c>
      <c r="N93" s="12"/>
      <c r="O93" s="11">
        <v>46111</v>
      </c>
      <c r="P93" s="12" t="s">
        <v>64</v>
      </c>
      <c r="R93" s="2"/>
      <c r="T93" s="2"/>
      <c r="U93" s="2"/>
      <c r="V93" s="2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9" x14ac:dyDescent="0.2">
      <c r="A94" s="37" t="s">
        <v>309</v>
      </c>
      <c r="B94" s="37" t="s">
        <v>310</v>
      </c>
      <c r="C94" s="37" t="s">
        <v>67</v>
      </c>
      <c r="D94" s="37" t="s">
        <v>68</v>
      </c>
      <c r="E94" s="8"/>
      <c r="F94" s="19">
        <v>5000000</v>
      </c>
      <c r="G94" s="20">
        <v>0.3</v>
      </c>
      <c r="H94" s="19">
        <f>[1]!Tabla1[[#This Row],[Recupero]]*[1]!Tabla1[[#This Row],[%]]</f>
        <v>540000</v>
      </c>
      <c r="I94" s="21" t="s">
        <v>311</v>
      </c>
      <c r="J94" s="22">
        <v>46111</v>
      </c>
      <c r="K94" s="21" t="s">
        <v>114</v>
      </c>
      <c r="L94" s="21" t="s">
        <v>114</v>
      </c>
      <c r="M94" s="12" t="s">
        <v>115</v>
      </c>
      <c r="N94" s="12"/>
      <c r="O94" s="11">
        <v>46114</v>
      </c>
      <c r="P94" s="12" t="s">
        <v>64</v>
      </c>
      <c r="R94" s="2"/>
      <c r="T94" s="2"/>
      <c r="U94" s="2"/>
      <c r="V94" s="47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9" x14ac:dyDescent="0.2">
      <c r="A95" s="37" t="s">
        <v>312</v>
      </c>
      <c r="B95" s="37" t="s">
        <v>313</v>
      </c>
      <c r="C95" s="37" t="s">
        <v>314</v>
      </c>
      <c r="D95" s="37" t="s">
        <v>41</v>
      </c>
      <c r="E95" s="8"/>
      <c r="F95" s="19">
        <v>4350000</v>
      </c>
      <c r="G95" s="20">
        <v>0.3</v>
      </c>
      <c r="H95" s="19">
        <f>[1]!Tabla1[[#This Row],[Recupero]]*[1]!Tabla1[[#This Row],[%]]</f>
        <v>453600</v>
      </c>
      <c r="I95" s="21" t="s">
        <v>113</v>
      </c>
      <c r="J95" s="8">
        <v>46122</v>
      </c>
      <c r="K95" s="21" t="s">
        <v>114</v>
      </c>
      <c r="L95" s="21" t="s">
        <v>114</v>
      </c>
      <c r="M95" s="12" t="s">
        <v>115</v>
      </c>
      <c r="N95" s="12"/>
      <c r="O95" s="11">
        <v>46116</v>
      </c>
      <c r="P95" s="12" t="s">
        <v>123</v>
      </c>
      <c r="R95" s="2"/>
      <c r="T95" s="2"/>
      <c r="U95" s="2"/>
      <c r="V95" s="2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9" x14ac:dyDescent="0.2">
      <c r="A96" s="37" t="s">
        <v>315</v>
      </c>
      <c r="B96" s="37" t="s">
        <v>316</v>
      </c>
      <c r="C96" s="37" t="s">
        <v>317</v>
      </c>
      <c r="D96" s="37" t="s">
        <v>41</v>
      </c>
      <c r="E96" s="8"/>
      <c r="F96" s="19">
        <v>2200000</v>
      </c>
      <c r="G96" s="20">
        <v>0.3</v>
      </c>
      <c r="H96" s="19">
        <f>[1]!Tabla1[[#This Row],[Recupero]]*[1]!Tabla1[[#This Row],[%]]</f>
        <v>450000</v>
      </c>
      <c r="I96" s="21" t="s">
        <v>198</v>
      </c>
      <c r="J96" s="8">
        <v>46122</v>
      </c>
      <c r="K96" s="21" t="s">
        <v>318</v>
      </c>
      <c r="L96" s="21" t="s">
        <v>318</v>
      </c>
      <c r="M96" s="12" t="s">
        <v>115</v>
      </c>
      <c r="N96" s="12"/>
      <c r="O96" s="11">
        <v>46122</v>
      </c>
      <c r="P96" s="12" t="s">
        <v>123</v>
      </c>
      <c r="R96" s="2"/>
      <c r="T96" s="2"/>
      <c r="U96" s="2"/>
      <c r="V96" s="24"/>
      <c r="AH96" s="2"/>
      <c r="AI96" s="2"/>
      <c r="AJ96" s="2"/>
      <c r="AK96" s="2"/>
    </row>
    <row r="97" spans="1:39" x14ac:dyDescent="0.2">
      <c r="A97" s="37" t="s">
        <v>319</v>
      </c>
      <c r="B97" s="37" t="s">
        <v>320</v>
      </c>
      <c r="C97" s="37" t="s">
        <v>321</v>
      </c>
      <c r="D97" s="37" t="s">
        <v>41</v>
      </c>
      <c r="E97" s="8"/>
      <c r="F97" s="19">
        <v>3600000</v>
      </c>
      <c r="G97" s="20">
        <v>0.3</v>
      </c>
      <c r="H97" s="19">
        <f>[1]!Tabla1[[#This Row],[Recupero]]*[1]!Tabla1[[#This Row],[%]]</f>
        <v>360000</v>
      </c>
      <c r="I97" s="21" t="s">
        <v>113</v>
      </c>
      <c r="J97" s="22">
        <v>46136</v>
      </c>
      <c r="K97" s="21" t="s">
        <v>114</v>
      </c>
      <c r="L97" s="21" t="s">
        <v>114</v>
      </c>
      <c r="M97" s="12" t="s">
        <v>115</v>
      </c>
      <c r="N97" s="12"/>
      <c r="O97" s="11">
        <v>46133</v>
      </c>
      <c r="P97" s="12" t="s">
        <v>64</v>
      </c>
      <c r="R97" s="2"/>
      <c r="U97" s="2"/>
      <c r="V97" s="2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M97" s="2"/>
    </row>
    <row r="98" spans="1:39" x14ac:dyDescent="0.2">
      <c r="A98" s="37" t="s">
        <v>322</v>
      </c>
      <c r="B98" s="37" t="s">
        <v>323</v>
      </c>
      <c r="C98" s="37" t="s">
        <v>324</v>
      </c>
      <c r="D98" s="37" t="s">
        <v>41</v>
      </c>
      <c r="E98" s="8"/>
      <c r="F98" s="19">
        <v>2433148</v>
      </c>
      <c r="G98" s="20">
        <v>0.3</v>
      </c>
      <c r="H98" s="19">
        <f>[1]!Tabla1[[#This Row],[Recupero]]*[1]!Tabla1[[#This Row],[%]]</f>
        <v>615000</v>
      </c>
      <c r="I98" s="21" t="s">
        <v>113</v>
      </c>
      <c r="J98" s="8">
        <v>46146</v>
      </c>
      <c r="K98" s="48" t="s">
        <v>114</v>
      </c>
      <c r="L98" s="48" t="s">
        <v>114</v>
      </c>
      <c r="M98" s="12" t="s">
        <v>115</v>
      </c>
      <c r="N98" s="12"/>
      <c r="O98" s="11">
        <v>46146</v>
      </c>
      <c r="P98" s="12" t="s">
        <v>148</v>
      </c>
      <c r="R98" s="2"/>
      <c r="U98" s="2"/>
      <c r="V98" s="24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M98" s="2"/>
    </row>
    <row r="99" spans="1:39" x14ac:dyDescent="0.2">
      <c r="A99" s="37" t="s">
        <v>325</v>
      </c>
      <c r="B99" s="37" t="s">
        <v>326</v>
      </c>
      <c r="C99" s="37"/>
      <c r="D99" s="37" t="s">
        <v>327</v>
      </c>
      <c r="E99" s="8"/>
      <c r="F99" s="19">
        <v>536494</v>
      </c>
      <c r="G99" s="20">
        <v>0.3</v>
      </c>
      <c r="H99" s="19">
        <f>[1]!Tabla1[[#This Row],[Recupero]]*[1]!Tabla1[[#This Row],[%]]</f>
        <v>1334451.5999999999</v>
      </c>
      <c r="I99" s="21" t="s">
        <v>113</v>
      </c>
      <c r="J99" s="8">
        <v>46140</v>
      </c>
      <c r="K99" s="48" t="s">
        <v>114</v>
      </c>
      <c r="L99" s="48" t="s">
        <v>114</v>
      </c>
      <c r="M99" s="12" t="s">
        <v>115</v>
      </c>
      <c r="N99" s="12"/>
      <c r="O99" s="11">
        <v>46149</v>
      </c>
      <c r="P99" s="12" t="s">
        <v>158</v>
      </c>
      <c r="R99" s="2"/>
      <c r="U99" s="2"/>
      <c r="V99" s="24"/>
    </row>
    <row r="100" spans="1:39" x14ac:dyDescent="0.2">
      <c r="A100" s="37" t="s">
        <v>328</v>
      </c>
      <c r="B100" s="37" t="s">
        <v>329</v>
      </c>
      <c r="C100" s="37"/>
      <c r="D100" s="37" t="s">
        <v>68</v>
      </c>
      <c r="E100" s="8"/>
      <c r="F100" s="19">
        <v>2000000</v>
      </c>
      <c r="G100" s="20">
        <v>0.3</v>
      </c>
      <c r="H100" s="19">
        <f>[1]!Tabla1[[#This Row],[Recupero]]*[1]!Tabla1[[#This Row],[%]]</f>
        <v>300000.15000000002</v>
      </c>
      <c r="I100" s="21" t="s">
        <v>157</v>
      </c>
      <c r="J100" s="8">
        <v>46155</v>
      </c>
      <c r="K100" s="21" t="s">
        <v>114</v>
      </c>
      <c r="L100" s="21" t="s">
        <v>114</v>
      </c>
      <c r="M100" s="12" t="s">
        <v>115</v>
      </c>
      <c r="N100" s="12"/>
      <c r="O100" s="11">
        <v>46157</v>
      </c>
      <c r="P100" s="12" t="s">
        <v>158</v>
      </c>
      <c r="R100" s="2"/>
      <c r="S100" s="2"/>
      <c r="T100" s="2"/>
      <c r="U100" s="2"/>
      <c r="V100" s="24"/>
      <c r="Y100" s="2"/>
      <c r="Z100" s="2"/>
      <c r="AA100" s="2"/>
      <c r="AB100" s="2"/>
      <c r="AC100" s="2"/>
      <c r="AD100" s="2"/>
      <c r="AE100" s="2"/>
      <c r="AG100" s="2"/>
      <c r="AH100" s="2"/>
      <c r="AI100" s="2"/>
      <c r="AJ100" s="2"/>
      <c r="AK100" s="2"/>
    </row>
    <row r="101" spans="1:39" x14ac:dyDescent="0.2">
      <c r="A101" s="37" t="s">
        <v>330</v>
      </c>
      <c r="B101" s="37" t="s">
        <v>331</v>
      </c>
      <c r="C101" s="37" t="s">
        <v>332</v>
      </c>
      <c r="D101" s="37" t="s">
        <v>41</v>
      </c>
      <c r="E101" s="8"/>
      <c r="F101" s="19">
        <v>200000</v>
      </c>
      <c r="G101" s="20">
        <v>0.5</v>
      </c>
      <c r="H101" s="19">
        <f>[1]!Tabla1[[#This Row],[Recupero]]*[1]!Tabla1[[#This Row],[%]]</f>
        <v>2243283.6</v>
      </c>
      <c r="I101" s="21" t="s">
        <v>333</v>
      </c>
      <c r="J101" s="8">
        <v>45792</v>
      </c>
      <c r="K101" s="21" t="s">
        <v>114</v>
      </c>
      <c r="L101" s="21" t="s">
        <v>114</v>
      </c>
      <c r="M101" s="12" t="s">
        <v>115</v>
      </c>
      <c r="N101" s="12"/>
      <c r="O101" s="11">
        <v>46157</v>
      </c>
      <c r="P101" s="12" t="s">
        <v>123</v>
      </c>
      <c r="R101" s="2"/>
      <c r="T101" s="2"/>
      <c r="U101" s="2"/>
      <c r="V101" s="2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9" x14ac:dyDescent="0.2">
      <c r="A102" s="37" t="s">
        <v>334</v>
      </c>
      <c r="B102" s="37" t="s">
        <v>335</v>
      </c>
      <c r="C102" s="37" t="s">
        <v>336</v>
      </c>
      <c r="D102" s="37" t="s">
        <v>36</v>
      </c>
      <c r="E102" s="8"/>
      <c r="F102" s="19">
        <v>700000</v>
      </c>
      <c r="G102" s="20">
        <v>0.42857099999999998</v>
      </c>
      <c r="H102" s="19">
        <f>[1]!Tabla1[[#This Row],[Recupero]]*[1]!Tabla1[[#This Row],[%]]</f>
        <v>720000</v>
      </c>
      <c r="I102" s="21" t="s">
        <v>333</v>
      </c>
      <c r="J102" s="22">
        <v>46162</v>
      </c>
      <c r="K102" s="21" t="s">
        <v>114</v>
      </c>
      <c r="L102" s="21" t="s">
        <v>114</v>
      </c>
      <c r="M102" s="12" t="s">
        <v>115</v>
      </c>
      <c r="N102" s="12"/>
      <c r="O102" s="11">
        <v>46162</v>
      </c>
      <c r="P102" s="12" t="s">
        <v>64</v>
      </c>
      <c r="R102" s="2"/>
      <c r="T102" s="2"/>
      <c r="U102" s="2"/>
      <c r="V102" s="2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9" x14ac:dyDescent="0.2">
      <c r="A103" s="37" t="s">
        <v>337</v>
      </c>
      <c r="B103" s="37" t="s">
        <v>338</v>
      </c>
      <c r="C103" s="37"/>
      <c r="D103" s="37" t="s">
        <v>339</v>
      </c>
      <c r="E103" s="8"/>
      <c r="F103" s="19">
        <v>3600000</v>
      </c>
      <c r="G103" s="20">
        <v>0.3</v>
      </c>
      <c r="H103" s="19">
        <f>[1]!Tabla1[[#This Row],[Recupero]]*[1]!Tabla1[[#This Row],[%]]</f>
        <v>1675000</v>
      </c>
      <c r="I103" s="21" t="s">
        <v>157</v>
      </c>
      <c r="J103" s="8">
        <v>46168</v>
      </c>
      <c r="K103" s="21" t="s">
        <v>318</v>
      </c>
      <c r="L103" s="21" t="s">
        <v>318</v>
      </c>
      <c r="M103" s="12" t="s">
        <v>115</v>
      </c>
      <c r="N103" s="12"/>
      <c r="O103" s="11">
        <v>46170</v>
      </c>
      <c r="P103" s="12" t="s">
        <v>123</v>
      </c>
      <c r="R103" s="2"/>
      <c r="U103" s="2"/>
      <c r="V103" s="24">
        <v>46168</v>
      </c>
      <c r="X103" s="2"/>
    </row>
    <row r="104" spans="1:39" x14ac:dyDescent="0.2">
      <c r="A104" s="37" t="s">
        <v>340</v>
      </c>
      <c r="B104" s="37" t="s">
        <v>341</v>
      </c>
      <c r="C104" s="37"/>
      <c r="D104" s="37" t="s">
        <v>339</v>
      </c>
      <c r="E104" s="8"/>
      <c r="F104" s="2">
        <v>2400000</v>
      </c>
      <c r="G104" s="20">
        <v>0.3</v>
      </c>
      <c r="H104" s="2">
        <f>[1]!Tabla1[[#This Row],[Recupero]]*[1]!Tabla1[[#This Row],[%]]</f>
        <v>633900</v>
      </c>
      <c r="I104" s="21" t="s">
        <v>157</v>
      </c>
      <c r="J104" s="8">
        <v>46168</v>
      </c>
      <c r="K104" s="21" t="s">
        <v>318</v>
      </c>
      <c r="L104" s="21" t="s">
        <v>318</v>
      </c>
      <c r="M104" s="12" t="s">
        <v>115</v>
      </c>
      <c r="O104" s="11">
        <v>46170</v>
      </c>
      <c r="P104" s="12" t="s">
        <v>123</v>
      </c>
      <c r="R104" s="2"/>
      <c r="U104" s="2"/>
      <c r="V104" s="24">
        <v>46168</v>
      </c>
      <c r="X104" s="2"/>
    </row>
    <row r="105" spans="1:39" x14ac:dyDescent="0.2">
      <c r="A105" s="37" t="s">
        <v>342</v>
      </c>
      <c r="B105" s="37" t="s">
        <v>343</v>
      </c>
      <c r="C105" s="37" t="s">
        <v>344</v>
      </c>
      <c r="D105" s="37" t="s">
        <v>345</v>
      </c>
      <c r="E105" s="8"/>
      <c r="F105" s="2">
        <v>6174380</v>
      </c>
      <c r="G105" s="20">
        <v>0.3</v>
      </c>
      <c r="H105" s="19">
        <f>[1]!Tabla1[[#This Row],[Recupero]]*[1]!Tabla1[[#This Row],[%]]</f>
        <v>675000</v>
      </c>
      <c r="I105" s="21" t="s">
        <v>113</v>
      </c>
      <c r="J105" s="22">
        <v>46171</v>
      </c>
      <c r="K105" s="21" t="s">
        <v>114</v>
      </c>
      <c r="L105" s="21" t="s">
        <v>114</v>
      </c>
      <c r="M105" s="12" t="s">
        <v>115</v>
      </c>
      <c r="N105" s="12"/>
      <c r="O105" s="11"/>
      <c r="P105" s="12" t="s">
        <v>148</v>
      </c>
      <c r="R105" s="2"/>
      <c r="U105" s="2"/>
      <c r="V105" s="24"/>
      <c r="W105" s="2"/>
      <c r="X105" s="2"/>
      <c r="Y105" s="2"/>
      <c r="Z105" s="2"/>
      <c r="AA105" s="2"/>
      <c r="AB105" s="2"/>
      <c r="AC105" s="2"/>
      <c r="AE105" s="2"/>
      <c r="AF105" s="2"/>
      <c r="AG105" s="2"/>
      <c r="AH105" s="2"/>
      <c r="AI105" s="2"/>
      <c r="AJ105" s="2"/>
      <c r="AK105" s="2"/>
      <c r="AM105" s="2"/>
    </row>
    <row r="106" spans="1:39" x14ac:dyDescent="0.2">
      <c r="A106" s="37" t="s">
        <v>346</v>
      </c>
      <c r="B106" s="37" t="s">
        <v>347</v>
      </c>
      <c r="C106" s="37" t="s">
        <v>348</v>
      </c>
      <c r="D106" s="37" t="s">
        <v>184</v>
      </c>
      <c r="E106" s="42"/>
      <c r="F106" s="2">
        <v>4668386</v>
      </c>
      <c r="G106" s="20">
        <v>0.3</v>
      </c>
      <c r="H106" s="19">
        <f>[1]!Tabla1[[#This Row],[Recupero]]*[1]!Tabla1[[#This Row],[%]]</f>
        <v>164296.79999999999</v>
      </c>
      <c r="I106" s="21" t="s">
        <v>113</v>
      </c>
      <c r="J106" s="8"/>
      <c r="K106" s="21"/>
      <c r="L106" s="21"/>
      <c r="M106" s="49" t="s">
        <v>349</v>
      </c>
      <c r="N106" s="12"/>
      <c r="O106" s="11"/>
      <c r="P106" s="12" t="s">
        <v>64</v>
      </c>
      <c r="R106" s="2"/>
      <c r="S106" s="2"/>
      <c r="T106" s="2"/>
      <c r="U106" s="2"/>
      <c r="V106" s="24"/>
      <c r="AG106" s="19"/>
      <c r="AH106" s="2"/>
      <c r="AI106" s="2"/>
      <c r="AJ106" s="2"/>
      <c r="AK106" s="2"/>
    </row>
    <row r="107" spans="1:39" x14ac:dyDescent="0.2">
      <c r="A107" s="50" t="s">
        <v>350</v>
      </c>
      <c r="B107" s="50" t="s">
        <v>351</v>
      </c>
      <c r="C107" s="50" t="s">
        <v>352</v>
      </c>
      <c r="D107" s="50" t="s">
        <v>36</v>
      </c>
      <c r="E107" s="8"/>
      <c r="F107" s="19">
        <v>3000000</v>
      </c>
      <c r="G107" s="20">
        <v>0.3</v>
      </c>
      <c r="H107" s="19">
        <f>[1]!Tabla1[[#This Row],[Recupero]]*[1]!Tabla1[[#This Row],[%]]</f>
        <v>870000</v>
      </c>
      <c r="I107" s="21" t="s">
        <v>202</v>
      </c>
      <c r="J107" s="8">
        <v>46179</v>
      </c>
      <c r="K107" s="21" t="s">
        <v>63</v>
      </c>
      <c r="L107" s="21" t="s">
        <v>63</v>
      </c>
      <c r="M107" s="12" t="s">
        <v>353</v>
      </c>
      <c r="N107" s="12"/>
      <c r="O107" s="11"/>
      <c r="P107" s="12" t="s">
        <v>64</v>
      </c>
      <c r="R107" s="2"/>
      <c r="U107" s="2">
        <v>300000</v>
      </c>
      <c r="V107" s="24">
        <v>46179</v>
      </c>
      <c r="X107" s="2"/>
      <c r="Y107" s="2"/>
      <c r="Z107" s="2"/>
      <c r="AA107" s="2"/>
      <c r="AB107" s="2"/>
      <c r="AC107" s="2"/>
      <c r="AD107" s="2"/>
      <c r="AF107" s="2"/>
      <c r="AH107" s="2"/>
      <c r="AI107" s="2"/>
      <c r="AJ107" s="2"/>
      <c r="AK107" s="2"/>
    </row>
    <row r="108" spans="1:39" x14ac:dyDescent="0.2">
      <c r="A108" s="50" t="s">
        <v>354</v>
      </c>
      <c r="B108" s="50" t="s">
        <v>355</v>
      </c>
      <c r="C108" s="50"/>
      <c r="D108" s="50" t="s">
        <v>68</v>
      </c>
      <c r="E108" s="8"/>
      <c r="F108" s="19">
        <v>7000000</v>
      </c>
      <c r="G108" s="20">
        <v>0.3</v>
      </c>
      <c r="H108" s="19">
        <f>[1]!Tabla1[[#This Row],[Recupero]]*[1]!Tabla1[[#This Row],[%]]</f>
        <v>1385311.5499999998</v>
      </c>
      <c r="I108" s="21" t="s">
        <v>356</v>
      </c>
      <c r="J108" s="8">
        <v>46166</v>
      </c>
      <c r="K108" s="21" t="s">
        <v>357</v>
      </c>
      <c r="L108" s="21" t="s">
        <v>357</v>
      </c>
      <c r="M108" s="12" t="s">
        <v>358</v>
      </c>
      <c r="N108" s="12"/>
      <c r="O108" s="12"/>
      <c r="P108" s="12" t="s">
        <v>158</v>
      </c>
      <c r="R108" s="2"/>
      <c r="U108" s="2">
        <v>450000</v>
      </c>
      <c r="V108" s="24">
        <v>46197</v>
      </c>
    </row>
    <row r="109" spans="1:39" x14ac:dyDescent="0.2">
      <c r="A109" s="50" t="s">
        <v>359</v>
      </c>
      <c r="B109" s="50" t="s">
        <v>360</v>
      </c>
      <c r="C109" s="50" t="s">
        <v>361</v>
      </c>
      <c r="D109" s="50" t="s">
        <v>36</v>
      </c>
      <c r="E109" s="8"/>
      <c r="F109" s="19">
        <v>7536000</v>
      </c>
      <c r="G109" s="20">
        <v>0.3</v>
      </c>
      <c r="H109" s="19">
        <f>[1]!Tabla1[[#This Row],[Recupero]]*[1]!Tabla1[[#This Row],[%]]</f>
        <v>1500000</v>
      </c>
      <c r="I109" s="21" t="s">
        <v>362</v>
      </c>
      <c r="J109" s="8">
        <v>46193</v>
      </c>
      <c r="K109" s="21" t="s">
        <v>363</v>
      </c>
      <c r="L109" s="21" t="s">
        <v>363</v>
      </c>
      <c r="M109" s="12" t="s">
        <v>364</v>
      </c>
      <c r="N109" s="12"/>
      <c r="O109" s="11"/>
      <c r="P109" s="12" t="s">
        <v>148</v>
      </c>
      <c r="R109" s="43"/>
      <c r="T109" s="2"/>
      <c r="U109" s="46">
        <v>330000</v>
      </c>
      <c r="V109" s="24">
        <v>46193</v>
      </c>
      <c r="W109" s="46">
        <v>330000</v>
      </c>
      <c r="AF109" s="2"/>
      <c r="AH109" s="2"/>
      <c r="AI109" s="2"/>
      <c r="AJ109" s="2"/>
      <c r="AK109" s="2"/>
    </row>
    <row r="110" spans="1:39" x14ac:dyDescent="0.2">
      <c r="A110" s="50" t="s">
        <v>365</v>
      </c>
      <c r="B110" s="50" t="s">
        <v>366</v>
      </c>
      <c r="C110" s="50" t="s">
        <v>367</v>
      </c>
      <c r="D110" s="50" t="s">
        <v>41</v>
      </c>
      <c r="E110" s="8"/>
      <c r="F110" s="19">
        <v>3750000</v>
      </c>
      <c r="G110" s="20">
        <v>0.3</v>
      </c>
      <c r="H110" s="19">
        <f>[1]!Tabla1[[#This Row],[Recupero]]*[1]!Tabla1[[#This Row],[%]]</f>
        <v>300028.5</v>
      </c>
      <c r="I110" s="21" t="s">
        <v>362</v>
      </c>
      <c r="J110" s="8">
        <v>46183</v>
      </c>
      <c r="K110" s="21" t="s">
        <v>363</v>
      </c>
      <c r="L110" s="21" t="s">
        <v>363</v>
      </c>
      <c r="M110" s="12" t="s">
        <v>364</v>
      </c>
      <c r="N110" s="12"/>
      <c r="O110" s="11"/>
      <c r="P110" s="12" t="s">
        <v>148</v>
      </c>
      <c r="R110" s="2"/>
      <c r="S110" s="2"/>
      <c r="T110" s="2"/>
      <c r="U110" s="2">
        <v>150000</v>
      </c>
      <c r="V110" s="24">
        <v>46183</v>
      </c>
      <c r="W110" s="2">
        <v>150000</v>
      </c>
      <c r="X110" s="2">
        <v>150000</v>
      </c>
      <c r="Y110" s="2"/>
      <c r="Z110" s="2"/>
      <c r="AA110" s="2"/>
      <c r="AB110" s="2"/>
      <c r="AC110" s="2"/>
      <c r="AF110" s="2"/>
      <c r="AH110" s="2"/>
      <c r="AI110" s="2"/>
      <c r="AJ110" s="2"/>
      <c r="AK110" s="2"/>
    </row>
    <row r="111" spans="1:39" x14ac:dyDescent="0.2">
      <c r="A111" s="50" t="s">
        <v>368</v>
      </c>
      <c r="B111" s="50" t="s">
        <v>369</v>
      </c>
      <c r="C111" s="50" t="s">
        <v>370</v>
      </c>
      <c r="D111" s="50" t="s">
        <v>41</v>
      </c>
      <c r="E111" s="8"/>
      <c r="F111" s="19">
        <v>4500000</v>
      </c>
      <c r="G111" s="20">
        <v>0.3</v>
      </c>
      <c r="H111" s="19">
        <f>[1]!Tabla1[[#This Row],[Recupero]]*[1]!Tabla1[[#This Row],[%]]</f>
        <v>810000</v>
      </c>
      <c r="I111" s="21" t="s">
        <v>371</v>
      </c>
      <c r="J111" s="8">
        <v>46183</v>
      </c>
      <c r="K111" s="21" t="s">
        <v>372</v>
      </c>
      <c r="L111" s="21" t="s">
        <v>372</v>
      </c>
      <c r="M111" s="12" t="s">
        <v>373</v>
      </c>
      <c r="N111" s="12"/>
      <c r="O111" s="12"/>
      <c r="P111" s="12" t="s">
        <v>64</v>
      </c>
      <c r="R111" s="2"/>
      <c r="U111" s="2">
        <v>225000</v>
      </c>
      <c r="V111" s="24">
        <v>46183</v>
      </c>
      <c r="W111" s="2">
        <v>225000</v>
      </c>
      <c r="X111" s="2">
        <v>225000</v>
      </c>
      <c r="Y111" s="2">
        <v>225000</v>
      </c>
    </row>
    <row r="112" spans="1:39" x14ac:dyDescent="0.2">
      <c r="A112" s="50" t="s">
        <v>374</v>
      </c>
      <c r="B112" s="50" t="s">
        <v>375</v>
      </c>
      <c r="C112" s="50" t="s">
        <v>376</v>
      </c>
      <c r="D112" s="50" t="s">
        <v>184</v>
      </c>
      <c r="E112" s="8"/>
      <c r="F112" s="19">
        <v>20000000</v>
      </c>
      <c r="G112" s="20">
        <v>0.3</v>
      </c>
      <c r="H112" s="19">
        <f>[1]!Tabla1[[#This Row],[Recupero]]*[1]!Tabla1[[#This Row],[%]]</f>
        <v>480000</v>
      </c>
      <c r="I112" s="21" t="s">
        <v>377</v>
      </c>
      <c r="J112" s="8">
        <v>46188</v>
      </c>
      <c r="K112" s="21" t="s">
        <v>63</v>
      </c>
      <c r="L112" s="21" t="s">
        <v>63</v>
      </c>
      <c r="M112" s="12" t="s">
        <v>353</v>
      </c>
      <c r="N112" s="12"/>
      <c r="O112" s="11"/>
      <c r="P112" s="12" t="s">
        <v>64</v>
      </c>
      <c r="R112" s="2"/>
      <c r="S112" s="2"/>
      <c r="T112" s="2"/>
      <c r="U112" s="2">
        <v>1200000</v>
      </c>
      <c r="V112" s="24">
        <v>46188</v>
      </c>
      <c r="W112" s="2">
        <v>1200000</v>
      </c>
      <c r="X112" s="2">
        <v>1200000</v>
      </c>
      <c r="AF112" s="2"/>
      <c r="AH112" s="2"/>
      <c r="AI112" s="2"/>
      <c r="AJ112" s="2"/>
      <c r="AK112" s="2"/>
    </row>
    <row r="113" spans="1:39" x14ac:dyDescent="0.2">
      <c r="A113" s="50" t="s">
        <v>378</v>
      </c>
      <c r="B113" s="50" t="s">
        <v>379</v>
      </c>
      <c r="C113" s="50" t="s">
        <v>380</v>
      </c>
      <c r="D113" s="50" t="s">
        <v>41</v>
      </c>
      <c r="E113" s="8"/>
      <c r="F113" s="19">
        <v>8000000</v>
      </c>
      <c r="G113" s="20">
        <v>0.3</v>
      </c>
      <c r="H113" s="19">
        <f>[1]!Tabla1[[#This Row],[Recupero]]*[1]!Tabla1[[#This Row],[%]]</f>
        <v>1500000</v>
      </c>
      <c r="I113" s="21" t="s">
        <v>381</v>
      </c>
      <c r="J113" s="22">
        <v>46183</v>
      </c>
      <c r="K113" s="21" t="s">
        <v>357</v>
      </c>
      <c r="L113" s="21" t="s">
        <v>357</v>
      </c>
      <c r="M113" s="12" t="s">
        <v>358</v>
      </c>
      <c r="N113" s="12"/>
      <c r="O113" s="11"/>
      <c r="P113" s="12" t="s">
        <v>123</v>
      </c>
      <c r="R113" s="19"/>
      <c r="T113" s="2"/>
      <c r="U113" s="19">
        <v>300000</v>
      </c>
      <c r="V113" s="24">
        <v>46183</v>
      </c>
      <c r="W113" s="19">
        <v>300000</v>
      </c>
      <c r="X113" s="19">
        <v>300000</v>
      </c>
      <c r="Y113" s="19">
        <v>300000</v>
      </c>
      <c r="Z113" s="19">
        <v>300000</v>
      </c>
      <c r="AF113" s="2"/>
      <c r="AH113" s="2"/>
      <c r="AI113" s="2"/>
      <c r="AJ113" s="2"/>
      <c r="AK113" s="2"/>
    </row>
    <row r="114" spans="1:39" x14ac:dyDescent="0.2">
      <c r="A114" s="50" t="s">
        <v>382</v>
      </c>
      <c r="B114" s="50" t="s">
        <v>383</v>
      </c>
      <c r="C114" s="50" t="s">
        <v>384</v>
      </c>
      <c r="D114" s="50" t="s">
        <v>36</v>
      </c>
      <c r="E114" s="8"/>
      <c r="F114" s="19">
        <v>7000000</v>
      </c>
      <c r="G114" s="20">
        <v>0.3</v>
      </c>
      <c r="H114" s="19">
        <f>[1]!Tabla1[[#This Row],[Recupero]]*[1]!Tabla1[[#This Row],[%]]</f>
        <v>1305000</v>
      </c>
      <c r="I114" s="21" t="s">
        <v>385</v>
      </c>
      <c r="J114" s="8">
        <v>46183</v>
      </c>
      <c r="K114" s="21" t="s">
        <v>63</v>
      </c>
      <c r="L114" s="21" t="s">
        <v>63</v>
      </c>
      <c r="M114" s="12" t="s">
        <v>353</v>
      </c>
      <c r="N114" s="12"/>
      <c r="O114" s="23"/>
      <c r="P114" s="12" t="s">
        <v>123</v>
      </c>
      <c r="R114" s="2"/>
      <c r="S114" s="44"/>
      <c r="T114" s="2"/>
      <c r="U114" s="2">
        <v>350000</v>
      </c>
      <c r="V114" s="24">
        <v>46183</v>
      </c>
      <c r="W114" s="2">
        <v>350000</v>
      </c>
      <c r="X114" s="2">
        <v>350000</v>
      </c>
      <c r="Y114" s="2">
        <v>350000</v>
      </c>
      <c r="Z114" s="2">
        <v>350000</v>
      </c>
      <c r="AF114" s="2"/>
      <c r="AH114" s="2"/>
      <c r="AI114" s="2"/>
      <c r="AJ114" s="2"/>
      <c r="AK114" s="2"/>
    </row>
    <row r="115" spans="1:39" x14ac:dyDescent="0.2">
      <c r="A115" s="50" t="s">
        <v>116</v>
      </c>
      <c r="B115" s="50" t="s">
        <v>386</v>
      </c>
      <c r="C115" s="50"/>
      <c r="D115" s="50" t="s">
        <v>339</v>
      </c>
      <c r="E115" s="8"/>
      <c r="F115" s="32">
        <v>30000000</v>
      </c>
      <c r="G115" s="9">
        <v>0.3</v>
      </c>
      <c r="H115" s="19">
        <f>[1]!Tabla1[[#This Row],[Recupero]]*[1]!Tabla1[[#This Row],[%]]</f>
        <v>660000</v>
      </c>
      <c r="I115" s="21" t="s">
        <v>387</v>
      </c>
      <c r="J115" s="8">
        <v>46178</v>
      </c>
      <c r="K115" s="21" t="s">
        <v>388</v>
      </c>
      <c r="L115" s="21" t="s">
        <v>388</v>
      </c>
      <c r="M115" s="12" t="s">
        <v>389</v>
      </c>
      <c r="N115" s="12"/>
      <c r="O115" s="11"/>
      <c r="P115" s="12" t="s">
        <v>390</v>
      </c>
      <c r="R115" s="19"/>
      <c r="S115" s="2"/>
      <c r="T115" s="2"/>
      <c r="U115" s="19">
        <v>150000</v>
      </c>
      <c r="V115" s="24">
        <v>46178</v>
      </c>
      <c r="W115" s="19">
        <v>150000</v>
      </c>
      <c r="X115" s="19">
        <v>150000</v>
      </c>
      <c r="Y115" s="19">
        <v>150000</v>
      </c>
      <c r="Z115" s="19">
        <v>150000</v>
      </c>
      <c r="AA115" s="19">
        <v>150000</v>
      </c>
      <c r="AB115" s="19">
        <v>150000</v>
      </c>
      <c r="AC115" s="19">
        <v>150000</v>
      </c>
      <c r="AF115" s="2"/>
      <c r="AH115" s="19"/>
      <c r="AI115" s="2"/>
      <c r="AJ115" s="2"/>
      <c r="AK115" s="2"/>
    </row>
    <row r="116" spans="1:39" x14ac:dyDescent="0.2">
      <c r="A116" s="51" t="s">
        <v>391</v>
      </c>
      <c r="B116" s="51" t="s">
        <v>392</v>
      </c>
      <c r="C116" s="51" t="s">
        <v>393</v>
      </c>
      <c r="D116" s="51" t="s">
        <v>184</v>
      </c>
      <c r="E116" s="8"/>
      <c r="F116" s="19">
        <v>2531192</v>
      </c>
      <c r="G116" s="20">
        <v>0.3</v>
      </c>
      <c r="H116" s="19">
        <f>[1]!Tabla1[[#This Row],[Recupero]]*[1]!Tabla1[[#This Row],[%]]</f>
        <v>1080000</v>
      </c>
      <c r="I116" s="21"/>
      <c r="J116" s="23"/>
      <c r="K116" s="12"/>
      <c r="L116" s="12"/>
      <c r="M116" s="12" t="s">
        <v>394</v>
      </c>
      <c r="N116" s="12">
        <v>60000</v>
      </c>
      <c r="O116" s="11"/>
      <c r="P116" s="12" t="s">
        <v>123</v>
      </c>
      <c r="R116" s="2"/>
      <c r="U116" s="2"/>
      <c r="V116" s="24"/>
      <c r="W116" s="2">
        <v>700000</v>
      </c>
      <c r="X116" s="2"/>
      <c r="Y116" s="2"/>
      <c r="Z116" s="2"/>
      <c r="AA116" s="2"/>
      <c r="AB116" s="2"/>
      <c r="AC116" s="2"/>
      <c r="AE116" s="2"/>
      <c r="AF116" s="2"/>
      <c r="AH116" s="2"/>
      <c r="AI116" s="2"/>
      <c r="AJ116" s="2"/>
      <c r="AK116" s="2"/>
      <c r="AM116" s="2"/>
    </row>
    <row r="117" spans="1:39" x14ac:dyDescent="0.2">
      <c r="A117" s="51" t="s">
        <v>395</v>
      </c>
      <c r="B117" s="51" t="s">
        <v>396</v>
      </c>
      <c r="C117" s="51" t="s">
        <v>397</v>
      </c>
      <c r="D117" s="51" t="s">
        <v>184</v>
      </c>
      <c r="E117" s="8"/>
      <c r="F117" s="19">
        <v>1831000</v>
      </c>
      <c r="G117" s="20">
        <v>0.3</v>
      </c>
      <c r="H117" s="19">
        <f>[1]!Tabla1[[#This Row],[Recupero]]*[1]!Tabla1[[#This Row],[%]]</f>
        <v>729944.4</v>
      </c>
      <c r="I117" s="21"/>
      <c r="J117" s="8"/>
      <c r="K117" s="21"/>
      <c r="L117" s="21"/>
      <c r="M117" s="12" t="s">
        <v>394</v>
      </c>
      <c r="N117" s="12">
        <v>45000</v>
      </c>
      <c r="O117" s="11"/>
      <c r="P117" s="12"/>
      <c r="R117" s="2"/>
      <c r="T117" s="2"/>
      <c r="U117" s="2"/>
      <c r="V117" s="24"/>
      <c r="W117" s="2">
        <v>500000</v>
      </c>
      <c r="X117" s="2"/>
      <c r="Y117" s="2"/>
      <c r="Z117" s="2"/>
      <c r="AA117" s="2"/>
      <c r="AB117" s="2"/>
      <c r="AC117" s="2"/>
      <c r="AE117" s="2"/>
      <c r="AF117" s="2"/>
      <c r="AH117" s="2"/>
      <c r="AI117" s="2"/>
      <c r="AJ117" s="2"/>
      <c r="AK117" s="2"/>
    </row>
    <row r="118" spans="1:39" x14ac:dyDescent="0.2">
      <c r="A118" s="51" t="s">
        <v>398</v>
      </c>
      <c r="B118" s="51" t="s">
        <v>399</v>
      </c>
      <c r="C118" s="51" t="s">
        <v>400</v>
      </c>
      <c r="D118" s="51" t="s">
        <v>284</v>
      </c>
      <c r="E118" s="8"/>
      <c r="F118" s="39">
        <v>450000</v>
      </c>
      <c r="G118" s="20">
        <v>0.3</v>
      </c>
      <c r="H118" s="19">
        <f>[1]!Tabla1[[#This Row],[Recupero]]*[1]!Tabla1[[#This Row],[%]]</f>
        <v>160948.19999999998</v>
      </c>
      <c r="I118" s="21" t="s">
        <v>401</v>
      </c>
      <c r="J118" s="8"/>
      <c r="K118" s="21"/>
      <c r="L118" s="21"/>
      <c r="M118" s="12" t="s">
        <v>402</v>
      </c>
      <c r="N118" s="19"/>
      <c r="O118" s="11"/>
      <c r="P118" s="12"/>
      <c r="R118" s="2"/>
      <c r="S118" s="2"/>
      <c r="T118" s="2"/>
      <c r="U118" s="2"/>
      <c r="V118" s="24"/>
      <c r="AD118" s="2"/>
      <c r="AE118" s="2"/>
      <c r="AF118" s="2"/>
      <c r="AG118" s="2"/>
      <c r="AH118" s="2"/>
      <c r="AI118" s="2"/>
      <c r="AJ118" s="2"/>
      <c r="AK118" s="2"/>
    </row>
    <row r="119" spans="1:39" x14ac:dyDescent="0.2">
      <c r="A119" s="51" t="s">
        <v>403</v>
      </c>
      <c r="B119" s="51" t="s">
        <v>404</v>
      </c>
      <c r="C119" s="51" t="s">
        <v>405</v>
      </c>
      <c r="D119" s="51" t="s">
        <v>184</v>
      </c>
      <c r="E119" s="8"/>
      <c r="F119" s="19">
        <v>4992460</v>
      </c>
      <c r="G119" s="20">
        <v>0.3</v>
      </c>
      <c r="H119" s="19">
        <f>[1]!Tabla1[[#This Row],[Recupero]]*[1]!Tabla1[[#This Row],[%]]</f>
        <v>600000</v>
      </c>
      <c r="I119" s="21" t="s">
        <v>406</v>
      </c>
      <c r="J119" s="8"/>
      <c r="K119" s="21"/>
      <c r="L119" s="21"/>
      <c r="M119" s="12" t="s">
        <v>394</v>
      </c>
      <c r="N119" s="19">
        <v>45000</v>
      </c>
      <c r="O119" s="11"/>
      <c r="P119" s="12" t="s">
        <v>148</v>
      </c>
      <c r="R119" s="2"/>
      <c r="S119" s="2"/>
      <c r="T119" s="2"/>
      <c r="U119" s="2"/>
      <c r="V119" s="24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9" x14ac:dyDescent="0.2">
      <c r="A120" s="12" t="s">
        <v>407</v>
      </c>
      <c r="B120" s="12" t="s">
        <v>408</v>
      </c>
      <c r="C120" s="12" t="s">
        <v>409</v>
      </c>
      <c r="D120" s="12" t="s">
        <v>41</v>
      </c>
      <c r="E120" s="8"/>
      <c r="F120" s="19">
        <v>25000000</v>
      </c>
      <c r="G120" s="20">
        <v>0.3</v>
      </c>
      <c r="H120" s="19">
        <f>[1]!Tabla1[[#This Row],[Recupero]]*[1]!Tabla1[[#This Row],[%]]</f>
        <v>100000</v>
      </c>
      <c r="I120" s="21"/>
      <c r="J120" s="8"/>
      <c r="K120" s="21"/>
      <c r="L120" s="21"/>
      <c r="M120" s="12" t="s">
        <v>410</v>
      </c>
      <c r="N120" s="12"/>
      <c r="O120" s="11"/>
      <c r="P120" s="12"/>
      <c r="R120" s="2"/>
      <c r="T120" s="2"/>
      <c r="U120" s="2"/>
      <c r="V120" s="24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9" x14ac:dyDescent="0.2">
      <c r="A121" s="12" t="s">
        <v>411</v>
      </c>
      <c r="B121" s="12" t="s">
        <v>412</v>
      </c>
      <c r="C121" s="12" t="s">
        <v>413</v>
      </c>
      <c r="D121" s="12" t="s">
        <v>41</v>
      </c>
      <c r="E121" s="8"/>
      <c r="F121" s="19"/>
      <c r="G121" s="20">
        <v>0.3</v>
      </c>
      <c r="H121" s="19">
        <f>[1]!Tabla1[[#This Row],[Recupero]]*[1]!Tabla1[[#This Row],[%]]</f>
        <v>299999.7</v>
      </c>
      <c r="I121" s="21"/>
      <c r="J121" s="8"/>
      <c r="K121" s="21"/>
      <c r="L121" s="21"/>
      <c r="M121" s="49" t="s">
        <v>414</v>
      </c>
      <c r="N121" s="12"/>
      <c r="O121" s="11"/>
      <c r="P121" s="12"/>
      <c r="R121" s="2"/>
      <c r="S121" s="2"/>
      <c r="T121" s="2"/>
      <c r="U121" s="2"/>
      <c r="V121" s="24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9" x14ac:dyDescent="0.2">
      <c r="A122" s="12" t="s">
        <v>415</v>
      </c>
      <c r="B122" s="12" t="s">
        <v>416</v>
      </c>
      <c r="C122" s="12" t="s">
        <v>417</v>
      </c>
      <c r="D122" s="12" t="s">
        <v>36</v>
      </c>
      <c r="E122" s="8"/>
      <c r="F122" s="52"/>
      <c r="G122" s="53">
        <v>0.3</v>
      </c>
      <c r="H122" s="19">
        <f>[1]!Tabla1[[#This Row],[Recupero]]*[1]!Tabla1[[#This Row],[%]]</f>
        <v>1080000</v>
      </c>
      <c r="I122" s="21"/>
      <c r="J122" s="8"/>
      <c r="K122" s="21"/>
      <c r="L122" s="21"/>
      <c r="M122" s="12" t="s">
        <v>410</v>
      </c>
      <c r="N122" s="12"/>
      <c r="O122" s="11"/>
      <c r="P122" s="12"/>
      <c r="R122" s="2"/>
      <c r="T122" s="2"/>
      <c r="U122" s="2"/>
      <c r="V122" s="24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9" x14ac:dyDescent="0.2">
      <c r="A123" s="12" t="s">
        <v>418</v>
      </c>
      <c r="B123" s="12" t="s">
        <v>419</v>
      </c>
      <c r="C123" s="12" t="s">
        <v>420</v>
      </c>
      <c r="D123" s="12" t="s">
        <v>41</v>
      </c>
      <c r="E123" s="8"/>
      <c r="F123" s="19"/>
      <c r="G123" s="20">
        <v>0.3</v>
      </c>
      <c r="H123" s="19">
        <f>[1]!Tabla1[[#This Row],[Recupero]]*[1]!Tabla1[[#This Row],[%]]</f>
        <v>720000</v>
      </c>
      <c r="I123" s="21"/>
      <c r="J123" s="8"/>
      <c r="K123" s="21"/>
      <c r="L123" s="21"/>
      <c r="M123" s="12" t="s">
        <v>410</v>
      </c>
      <c r="N123" s="12"/>
      <c r="O123" s="11"/>
      <c r="P123" s="12"/>
      <c r="R123" s="2"/>
      <c r="T123" s="2"/>
      <c r="U123" s="2"/>
      <c r="V123" s="24"/>
      <c r="W123" s="45"/>
      <c r="X123" s="45"/>
      <c r="Y123" s="54"/>
      <c r="Z123" s="45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9" x14ac:dyDescent="0.2">
      <c r="A124" s="12" t="s">
        <v>421</v>
      </c>
      <c r="B124" s="12" t="s">
        <v>422</v>
      </c>
      <c r="C124" s="12" t="s">
        <v>423</v>
      </c>
      <c r="D124" s="12" t="s">
        <v>36</v>
      </c>
      <c r="E124" s="8"/>
      <c r="F124" s="19"/>
      <c r="G124" s="20">
        <v>0.3</v>
      </c>
      <c r="H124" s="19">
        <f>[1]!Tabla1[[#This Row],[Recupero]]*[1]!Tabla1[[#This Row],[%]]</f>
        <v>1852314</v>
      </c>
      <c r="I124" s="21"/>
      <c r="J124" s="22"/>
      <c r="K124" s="21"/>
      <c r="L124" s="21"/>
      <c r="M124" s="12"/>
      <c r="N124" s="12"/>
      <c r="O124" s="11"/>
      <c r="P124" s="12"/>
      <c r="R124" s="2"/>
      <c r="U124" s="2"/>
      <c r="V124" s="24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M124" s="2"/>
    </row>
    <row r="125" spans="1:39" x14ac:dyDescent="0.2">
      <c r="A125" s="12" t="s">
        <v>424</v>
      </c>
      <c r="B125" s="12" t="s">
        <v>425</v>
      </c>
      <c r="C125" s="12" t="s">
        <v>426</v>
      </c>
      <c r="D125" s="12" t="s">
        <v>36</v>
      </c>
      <c r="E125" s="8"/>
      <c r="F125" s="19"/>
      <c r="G125" s="20">
        <v>0.3</v>
      </c>
      <c r="H125" s="19">
        <f>[1]!Tabla1[[#This Row],[Recupero]]*[1]!Tabla1[[#This Row],[%]]</f>
        <v>1400515.8</v>
      </c>
      <c r="I125" s="21"/>
      <c r="J125" s="8"/>
      <c r="K125" s="21"/>
      <c r="L125" s="21"/>
      <c r="M125" s="12" t="s">
        <v>427</v>
      </c>
      <c r="N125" s="12"/>
      <c r="O125" s="11"/>
      <c r="P125" s="12"/>
      <c r="R125" s="2"/>
      <c r="T125" s="2"/>
      <c r="U125" s="2"/>
      <c r="V125" s="24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9" x14ac:dyDescent="0.2">
      <c r="A126" s="55" t="s">
        <v>428</v>
      </c>
      <c r="B126" s="55" t="s">
        <v>429</v>
      </c>
      <c r="C126" s="55" t="s">
        <v>430</v>
      </c>
      <c r="D126" s="55" t="s">
        <v>41</v>
      </c>
      <c r="E126" s="8"/>
      <c r="F126" s="19"/>
      <c r="G126" s="20">
        <v>0.3</v>
      </c>
      <c r="H126" s="19">
        <f>[1]!Tabla1[[#This Row],[Recupero]]*[1]!Tabla1[[#This Row],[%]]</f>
        <v>900000</v>
      </c>
      <c r="I126" s="21"/>
      <c r="J126" s="8"/>
      <c r="K126" s="21"/>
      <c r="L126" s="21"/>
      <c r="M126" s="49" t="s">
        <v>431</v>
      </c>
      <c r="N126" s="12"/>
      <c r="O126" s="11"/>
      <c r="P126" s="12"/>
      <c r="R126" s="2"/>
      <c r="S126" s="2"/>
      <c r="T126" s="2"/>
      <c r="U126" s="2"/>
      <c r="V126" s="24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9" x14ac:dyDescent="0.2">
      <c r="A127" s="55" t="s">
        <v>432</v>
      </c>
      <c r="B127" s="55" t="s">
        <v>433</v>
      </c>
      <c r="C127" s="55" t="s">
        <v>434</v>
      </c>
      <c r="D127" s="55" t="s">
        <v>36</v>
      </c>
      <c r="E127" s="8"/>
      <c r="F127" s="19"/>
      <c r="G127" s="20">
        <v>0.3</v>
      </c>
      <c r="H127" s="19">
        <f>[1]!Tabla1[[#This Row],[Recupero]]*[1]!Tabla1[[#This Row],[%]]</f>
        <v>2100000</v>
      </c>
      <c r="I127" s="21"/>
      <c r="J127" s="8"/>
      <c r="K127" s="21"/>
      <c r="L127" s="21"/>
      <c r="M127" s="49" t="s">
        <v>435</v>
      </c>
      <c r="N127" s="12"/>
      <c r="O127" s="11"/>
      <c r="P127" s="12"/>
      <c r="R127" s="2"/>
      <c r="S127" s="2"/>
      <c r="T127" s="2"/>
      <c r="U127" s="2"/>
      <c r="V127" s="24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9" x14ac:dyDescent="0.2">
      <c r="A128" s="55" t="s">
        <v>436</v>
      </c>
      <c r="B128" s="55" t="s">
        <v>437</v>
      </c>
      <c r="C128" s="55" t="s">
        <v>438</v>
      </c>
      <c r="D128" s="55" t="s">
        <v>41</v>
      </c>
      <c r="E128" s="8"/>
      <c r="F128" s="19"/>
      <c r="G128" s="20">
        <v>0.25</v>
      </c>
      <c r="H128" s="19">
        <f>[1]!Tabla1[[#This Row],[Recupero]]*[1]!Tabla1[[#This Row],[%]]</f>
        <v>2260800</v>
      </c>
      <c r="I128" s="21"/>
      <c r="J128" s="8"/>
      <c r="K128" s="21"/>
      <c r="L128" s="21"/>
      <c r="M128" s="49" t="s">
        <v>439</v>
      </c>
      <c r="N128" s="12"/>
      <c r="O128" s="11"/>
      <c r="P128" s="12"/>
      <c r="R128" s="2"/>
      <c r="S128" s="2"/>
      <c r="T128" s="2"/>
      <c r="U128" s="2"/>
      <c r="V128" s="24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55" t="s">
        <v>440</v>
      </c>
      <c r="B129" s="55" t="s">
        <v>441</v>
      </c>
      <c r="C129" s="55" t="s">
        <v>442</v>
      </c>
      <c r="D129" s="55" t="s">
        <v>41</v>
      </c>
      <c r="E129" s="8"/>
      <c r="F129" s="19"/>
      <c r="G129" s="20">
        <v>0.3</v>
      </c>
      <c r="H129" s="19">
        <f>[1]!Tabla1[[#This Row],[Recupero]]*[1]!Tabla1[[#This Row],[%]]</f>
        <v>1125000</v>
      </c>
      <c r="I129" s="21"/>
      <c r="J129" s="8"/>
      <c r="K129" s="21"/>
      <c r="L129" s="21"/>
      <c r="M129" s="49" t="s">
        <v>443</v>
      </c>
      <c r="N129" s="12"/>
      <c r="O129" s="11"/>
      <c r="P129" s="12"/>
      <c r="R129" s="2"/>
      <c r="T129" s="2"/>
      <c r="U129" s="19"/>
      <c r="V129" s="24"/>
      <c r="AG129" s="2"/>
      <c r="AH129" s="2"/>
      <c r="AI129" s="2"/>
      <c r="AJ129" s="2"/>
      <c r="AK129" s="2"/>
    </row>
    <row r="130" spans="1:37" x14ac:dyDescent="0.2">
      <c r="A130" s="50" t="s">
        <v>116</v>
      </c>
      <c r="B130" s="50" t="s">
        <v>444</v>
      </c>
      <c r="C130" s="50" t="s">
        <v>445</v>
      </c>
      <c r="D130" s="50" t="s">
        <v>36</v>
      </c>
      <c r="E130" s="8"/>
      <c r="F130" s="52"/>
      <c r="G130" s="53">
        <v>0.3</v>
      </c>
      <c r="H130" s="19">
        <f>[1]!Tabla1[[#This Row],[Recupero]]*[1]!Tabla1[[#This Row],[%]]</f>
        <v>1350000</v>
      </c>
      <c r="I130" s="21" t="s">
        <v>69</v>
      </c>
      <c r="J130" s="8"/>
      <c r="K130" s="21"/>
      <c r="L130" s="21"/>
      <c r="M130" s="12" t="s">
        <v>446</v>
      </c>
      <c r="N130" s="12"/>
      <c r="O130" s="23"/>
      <c r="P130" s="12" t="s">
        <v>64</v>
      </c>
      <c r="R130" s="2"/>
      <c r="S130" s="2"/>
      <c r="T130" s="2"/>
      <c r="U130" s="2"/>
      <c r="V130" s="24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56" t="s">
        <v>447</v>
      </c>
      <c r="B131" s="56" t="s">
        <v>448</v>
      </c>
      <c r="C131" s="56" t="s">
        <v>449</v>
      </c>
      <c r="D131" s="56" t="s">
        <v>184</v>
      </c>
      <c r="E131" s="8"/>
      <c r="F131" s="19">
        <v>375000000</v>
      </c>
      <c r="G131" s="20">
        <v>0.125</v>
      </c>
      <c r="H131" s="19">
        <f>[1]!Tabla1[[#This Row],[Recupero]]*[1]!Tabla1[[#This Row],[%]]</f>
        <v>6000000</v>
      </c>
      <c r="I131" s="21"/>
      <c r="J131" s="8"/>
      <c r="K131" s="21"/>
      <c r="L131" s="21"/>
      <c r="M131" s="12" t="s">
        <v>450</v>
      </c>
      <c r="N131" s="12"/>
      <c r="O131" s="11"/>
      <c r="P131" s="12"/>
      <c r="R131" s="2"/>
      <c r="S131" s="2"/>
      <c r="T131" s="2"/>
      <c r="U131" s="2"/>
      <c r="V131" s="24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Fuentes Leal</dc:creator>
  <cp:lastModifiedBy>Daniel Fuentes Leal</cp:lastModifiedBy>
  <dcterms:created xsi:type="dcterms:W3CDTF">2026-05-31T05:01:14Z</dcterms:created>
  <dcterms:modified xsi:type="dcterms:W3CDTF">2026-05-31T05:01:50Z</dcterms:modified>
</cp:coreProperties>
</file>